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85a382fef085c08/Documentos/Luis/Instituto San Carlos/Química_5/Didáctica/Hidrocarburos/"/>
    </mc:Choice>
  </mc:AlternateContent>
  <xr:revisionPtr revIDLastSave="1407" documentId="8_{659F2837-D7F6-4677-B9B4-4574CBDB42F3}" xr6:coauthVersionLast="47" xr6:coauthVersionMax="47" xr10:uidLastSave="{EA557C2F-5504-4ABA-BE40-B43EF41DE892}"/>
  <bookViews>
    <workbookView minimized="1" xWindow="11910" yWindow="2700" windowWidth="8010" windowHeight="7170" firstSheet="2" activeTab="2" xr2:uid="{00000000-000D-0000-FFFF-FFFF00000000}"/>
  </bookViews>
  <sheets>
    <sheet name="Estequiometría" sheetId="1" state="hidden" r:id="rId1"/>
    <sheet name="Hoja1" sheetId="2" state="hidden" r:id="rId2"/>
    <sheet name="TP_3" sheetId="3" r:id="rId3"/>
    <sheet name="Energía_Producir_Metanol" sheetId="5" r:id="rId4"/>
    <sheet name="Tabla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3" l="1"/>
  <c r="J13" i="3"/>
  <c r="K6" i="3"/>
  <c r="K7" i="3"/>
  <c r="G162" i="3"/>
  <c r="L23" i="3"/>
  <c r="L22" i="3"/>
  <c r="H100" i="1"/>
  <c r="I92" i="1"/>
  <c r="I93" i="1"/>
  <c r="E12" i="2"/>
  <c r="E11" i="2"/>
  <c r="H10" i="2"/>
  <c r="H9" i="2"/>
  <c r="B15" i="1"/>
  <c r="H99" i="1"/>
  <c r="H109" i="1"/>
  <c r="H108" i="1"/>
  <c r="H82" i="1"/>
  <c r="H83" i="1"/>
  <c r="K81" i="1"/>
  <c r="K80" i="1"/>
  <c r="H63" i="1"/>
  <c r="H62" i="1"/>
  <c r="B35" i="1"/>
  <c r="B34" i="1"/>
  <c r="K60" i="1"/>
  <c r="K61" i="1"/>
  <c r="E33" i="1"/>
  <c r="E32" i="1"/>
  <c r="B11" i="1"/>
  <c r="B10" i="1"/>
  <c r="B12" i="1" s="1"/>
  <c r="E9" i="1"/>
  <c r="E8" i="1"/>
  <c r="J15" i="3" l="1"/>
  <c r="J17" i="3" s="1"/>
  <c r="E12" i="1"/>
  <c r="H84" i="1"/>
  <c r="H87" i="1" s="1"/>
  <c r="H64" i="1"/>
  <c r="H65" i="1" s="1"/>
  <c r="B36" i="1"/>
  <c r="B39" i="1" s="1"/>
  <c r="H101" i="1"/>
  <c r="H102" i="1" s="1"/>
  <c r="E13" i="2"/>
  <c r="E16" i="2" s="1"/>
  <c r="H13" i="2" s="1"/>
  <c r="H86" i="1"/>
  <c r="H85" i="1"/>
  <c r="K82" i="1" s="1"/>
  <c r="H67" i="1"/>
  <c r="K64" i="1" s="1"/>
  <c r="B13" i="1"/>
  <c r="E10" i="1" s="1"/>
  <c r="B14" i="1"/>
  <c r="E11" i="1" s="1"/>
  <c r="J16" i="3" l="1"/>
  <c r="L24" i="3" s="1"/>
  <c r="L25" i="3"/>
  <c r="J18" i="3"/>
  <c r="L26" i="3" s="1"/>
  <c r="H104" i="1"/>
  <c r="H112" i="1" s="1"/>
  <c r="H110" i="1"/>
  <c r="K83" i="1"/>
  <c r="H66" i="1"/>
  <c r="K63" i="1" s="1"/>
  <c r="K62" i="1"/>
  <c r="B37" i="1"/>
  <c r="E34" i="1" s="1"/>
  <c r="E14" i="2"/>
  <c r="E15" i="2"/>
  <c r="H12" i="2" s="1"/>
  <c r="H103" i="1"/>
  <c r="H111" i="1" s="1"/>
  <c r="K84" i="1"/>
  <c r="B38" i="1"/>
  <c r="E35" i="1" s="1"/>
  <c r="E36" i="1"/>
  <c r="H11" i="2" l="1"/>
  <c r="E32" i="2"/>
</calcChain>
</file>

<file path=xl/sharedStrings.xml><?xml version="1.0" encoding="utf-8"?>
<sst xmlns="http://schemas.openxmlformats.org/spreadsheetml/2006/main" count="460" uniqueCount="270">
  <si>
    <t>Concepto</t>
  </si>
  <si>
    <t>Valor</t>
  </si>
  <si>
    <t>Magnitud</t>
  </si>
  <si>
    <t>Cantidad</t>
  </si>
  <si>
    <t>CO disponible</t>
  </si>
  <si>
    <t>H2 disponible</t>
  </si>
  <si>
    <t>Reacciones por CO</t>
  </si>
  <si>
    <t>CH3OH producido</t>
  </si>
  <si>
    <t>Reacciones por H2</t>
  </si>
  <si>
    <t>CO sobrante</t>
  </si>
  <si>
    <t>Número de reacciones</t>
  </si>
  <si>
    <t>H2 sobrante</t>
  </si>
  <si>
    <t>Reactivos</t>
  </si>
  <si>
    <t>Productos + Sobrantes</t>
  </si>
  <si>
    <t>Resultado:</t>
  </si>
  <si>
    <t>Sustancia</t>
  </si>
  <si>
    <t>Supongamos el caso de la imágen:</t>
  </si>
  <si>
    <t>CO = 1 molécula</t>
  </si>
  <si>
    <t>H₂ = 1 molécula</t>
  </si>
  <si>
    <t>La reacción necesita:</t>
  </si>
  <si>
    <t>coef. React</t>
  </si>
  <si>
    <t>P4</t>
  </si>
  <si>
    <t>H2</t>
  </si>
  <si>
    <t>coef. Producido</t>
  </si>
  <si>
    <t>4PH3</t>
  </si>
  <si>
    <t>P4 disponible</t>
  </si>
  <si>
    <t>Reacciones por P4</t>
  </si>
  <si>
    <t>PH3 producido</t>
  </si>
  <si>
    <t>P4sobrante</t>
  </si>
  <si>
    <t>NO</t>
  </si>
  <si>
    <t>O2</t>
  </si>
  <si>
    <t>2NO2</t>
  </si>
  <si>
    <t>NOdisponible</t>
  </si>
  <si>
    <t>O2 disponible</t>
  </si>
  <si>
    <t>Reacciones por NO</t>
  </si>
  <si>
    <t>Reacciones por O2</t>
  </si>
  <si>
    <t>NO2 producido</t>
  </si>
  <si>
    <t>NO sobrante</t>
  </si>
  <si>
    <t>O2 sobrante</t>
  </si>
  <si>
    <t>CO</t>
  </si>
  <si>
    <t>2H2</t>
  </si>
  <si>
    <t xml:space="preserve">Reactivo limitante </t>
  </si>
  <si>
    <t>1CH3OH</t>
  </si>
  <si>
    <t>Ch3OH producido</t>
  </si>
  <si>
    <t>Actividad</t>
  </si>
  <si>
    <t>Obtener Metanol a partir de las distintas cantidades de moléculas del reactivo</t>
  </si>
  <si>
    <t>H₂</t>
  </si>
  <si>
    <t>Y responder:</t>
  </si>
  <si>
    <t>1. ¿Cuál es el reactivo limitante?</t>
  </si>
  <si>
    <t>2. ¿Cuánto metanol se forma?</t>
  </si>
  <si>
    <t>3. ¿Qué reactivo queda en exceso?</t>
  </si>
  <si>
    <t>4. ¿Cuánto sobra?</t>
  </si>
  <si>
    <t>Relación con la combustión y energía</t>
  </si>
  <si>
    <t>Formación de Metanol</t>
  </si>
  <si>
    <t>https://es.khanacademy.org/science/ap-chemistry-beta/x2eef969c74e0d802:thermodynamics/x2eef969c74e0d802:introduction-to-enthalpy-of-reaction/e/introduction-to-enthalpy-of-reaction</t>
  </si>
  <si>
    <t>https://www.youtube.com/watch?v=Fanxp6PSR00</t>
  </si>
  <si>
    <t>1 caloría = 4.184 joule</t>
  </si>
  <si>
    <t>Energía es</t>
  </si>
  <si>
    <t>cantidad de moles producidos  X  energía</t>
  </si>
  <si>
    <t>KJ/mol</t>
  </si>
  <si>
    <r>
      <t xml:space="preserve">Imaginar que las sustancias tienen una especie de </t>
    </r>
    <r>
      <rPr>
        <b/>
        <sz val="11"/>
        <color theme="1"/>
        <rFont val="Calibri"/>
        <family val="2"/>
        <scheme val="minor"/>
      </rPr>
      <t>"nivel de energía"</t>
    </r>
    <r>
      <rPr>
        <sz val="11"/>
        <color theme="1"/>
        <rFont val="Calibri"/>
        <family val="2"/>
        <scheme val="minor"/>
      </rPr>
      <t>, como si fueran ciudades ubicadas a distintas alturas sobre una montaña.</t>
    </r>
  </si>
  <si>
    <t>Altura (energía)</t>
  </si>
  <si>
    <t>O₂</t>
  </si>
  <si>
    <t>CO₂</t>
  </si>
  <si>
    <t>-393,5</t>
  </si>
  <si>
    <t>H₂O</t>
  </si>
  <si>
    <t>-285,8</t>
  </si>
  <si>
    <t>CH₃OH</t>
  </si>
  <si>
    <t>-238,7</t>
  </si>
  <si>
    <t>Primero Producimos Metanol, luego  realizamos su combustión para obtener la energía liberada</t>
  </si>
  <si>
    <t>Interpretación Estequeométrica</t>
  </si>
  <si>
    <t>Disponemos de :</t>
  </si>
  <si>
    <t>Por el CO</t>
  </si>
  <si>
    <t>Cada reacción consume 1 mol de CO:</t>
  </si>
  <si>
    <r>
      <t xml:space="preserve">➡️ </t>
    </r>
    <r>
      <rPr>
        <sz val="16"/>
        <color theme="1"/>
        <rFont val="Calibri"/>
        <family val="2"/>
        <scheme val="minor"/>
      </rPr>
      <t xml:space="preserve">El CO permite realizar </t>
    </r>
    <r>
      <rPr>
        <b/>
        <sz val="16"/>
        <color theme="1"/>
        <rFont val="Calibri"/>
        <family val="2"/>
        <scheme val="minor"/>
      </rPr>
      <t>6 reacciones</t>
    </r>
    <r>
      <rPr>
        <sz val="16"/>
        <color theme="1"/>
        <rFont val="Calibri"/>
        <family val="2"/>
        <scheme val="minor"/>
      </rPr>
      <t>.</t>
    </r>
  </si>
  <si>
    <t>Por el H₂</t>
  </si>
  <si>
    <t>Cada reacción consume 2 mol de H₂:</t>
  </si>
  <si>
    <r>
      <t xml:space="preserve">➡️ El H₂ permite realizar </t>
    </r>
    <r>
      <rPr>
        <b/>
        <sz val="14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reacciones</t>
    </r>
  </si>
  <si>
    <t>Determinar el reactivo limitante</t>
  </si>
  <si>
    <t>Comparamos :</t>
  </si>
  <si>
    <t>Reactivo</t>
  </si>
  <si>
    <t>Reacciones posibles</t>
  </si>
  <si>
    <t>El menor valor es 4, por lo tanto:</t>
  </si>
  <si>
    <r>
      <t xml:space="preserve">Es importante notar que el "4" </t>
    </r>
    <r>
      <rPr>
        <b/>
        <sz val="14"/>
        <color theme="1"/>
        <rFont val="Calibri"/>
        <family val="2"/>
        <scheme val="minor"/>
      </rPr>
      <t>no son 4 moles de H₂</t>
    </r>
    <r>
      <rPr>
        <sz val="14"/>
        <color theme="1"/>
        <rFont val="Calibri"/>
        <family val="2"/>
        <scheme val="minor"/>
      </rPr>
      <t xml:space="preserve">, sino </t>
    </r>
    <r>
      <rPr>
        <b/>
        <sz val="14"/>
        <color theme="1"/>
        <rFont val="Calibri"/>
        <family val="2"/>
        <scheme val="minor"/>
      </rPr>
      <t>4 reacciones completas posibles</t>
    </r>
    <r>
      <rPr>
        <sz val="14"/>
        <color theme="1"/>
        <rFont val="Calibri"/>
        <family val="2"/>
        <scheme val="minor"/>
      </rPr>
      <t>.</t>
    </r>
  </si>
  <si>
    <t>Calcular el producto</t>
  </si>
  <si>
    <t>Cada reacción produce 1 mol de</t>
  </si>
  <si>
    <t xml:space="preserve">Como pueden ocurrir 4 reacciones   </t>
  </si>
  <si>
    <t>Calcular lo que se consume</t>
  </si>
  <si>
    <t>Consumido:</t>
  </si>
  <si>
    <t>Calcular lo que sobra</t>
  </si>
  <si>
    <t>Sobrante:</t>
  </si>
  <si>
    <t>Resultado</t>
  </si>
  <si>
    <t>CO inicial</t>
  </si>
  <si>
    <t>6 mol</t>
  </si>
  <si>
    <t>H₂ inicial</t>
  </si>
  <si>
    <t>8 mol</t>
  </si>
  <si>
    <t>Reactivo limitante</t>
  </si>
  <si>
    <t>CH₃OH producido</t>
  </si>
  <si>
    <t>4 mol</t>
  </si>
  <si>
    <t>CO consumido</t>
  </si>
  <si>
    <t>2 mol</t>
  </si>
  <si>
    <t>H₂ consumido</t>
  </si>
  <si>
    <t>H₂ sobrante</t>
  </si>
  <si>
    <t>0 mol</t>
  </si>
  <si>
    <t>cálculo 1</t>
  </si>
  <si>
    <t>cálculo 2</t>
  </si>
  <si>
    <t>cálculo 3</t>
  </si>
  <si>
    <t>cálculo 4</t>
  </si>
  <si>
    <t>cálculo 5</t>
  </si>
  <si>
    <t>Ver Energía para producir Metanol</t>
  </si>
  <si>
    <t>"La estequiometría nos dice que obtuvimos 4 moles de metanol. ¿Cómo podemos saber cuánta energía liberarán esos 4 moles si los quemamos?"</t>
  </si>
  <si>
    <t>Utilizaremos el ejemplo trabajado donde nos dio 4 moles producidos</t>
  </si>
  <si>
    <t>CH₃OH producido = 4 mol.</t>
  </si>
  <si>
    <t>Ahora escribimos la reacción de combustión:</t>
  </si>
  <si>
    <t>¿Cuánta energía libera esa reacción?</t>
  </si>
  <si>
    <r>
      <t xml:space="preserve">Primera forma de resolverlo: </t>
    </r>
    <r>
      <rPr>
        <b/>
        <sz val="16"/>
        <color theme="1"/>
        <rFont val="Calibri"/>
        <family val="2"/>
        <scheme val="minor"/>
      </rPr>
      <t>Tabla de combustión</t>
    </r>
  </si>
  <si>
    <t>tabla 2</t>
  </si>
  <si>
    <t>¿De dónde salió el 726?</t>
  </si>
  <si>
    <t>Ese valor puede calcularse a partir de otras energías conocidas.</t>
  </si>
  <si>
    <t>Toda reacción química implica un intercambio de energía porque:</t>
  </si>
  <si>
    <r>
      <t xml:space="preserve">romper enlaces </t>
    </r>
    <r>
      <rPr>
        <b/>
        <sz val="16"/>
        <color theme="1"/>
        <rFont val="Calibri"/>
        <family val="2"/>
        <scheme val="minor"/>
      </rPr>
      <t>consume energía</t>
    </r>
    <r>
      <rPr>
        <sz val="16"/>
        <color theme="1"/>
        <rFont val="Calibri"/>
        <family val="2"/>
        <scheme val="minor"/>
      </rPr>
      <t>;</t>
    </r>
  </si>
  <si>
    <t>Ley de Hess</t>
  </si>
  <si>
    <r>
      <t xml:space="preserve">formar enlaces </t>
    </r>
    <r>
      <rPr>
        <b/>
        <sz val="16"/>
        <color theme="1"/>
        <rFont val="Calibri"/>
        <family val="2"/>
        <scheme val="minor"/>
      </rPr>
      <t>libera energía</t>
    </r>
    <r>
      <rPr>
        <sz val="16"/>
        <color theme="1"/>
        <rFont val="Calibri"/>
        <family val="2"/>
        <scheme val="minor"/>
      </rPr>
      <t>.</t>
    </r>
  </si>
  <si>
    <t>la tabla dice que el metanol libera -726 kJ/mol al quemarse. ¿Quién calculó ese número?</t>
  </si>
  <si>
    <r>
      <t xml:space="preserve">Ese número puede medirse experimentalmente, pero </t>
    </r>
    <r>
      <rPr>
        <b/>
        <sz val="16"/>
        <color theme="1"/>
        <rFont val="Calibri"/>
        <family val="2"/>
        <scheme val="minor"/>
      </rPr>
      <t>también puede calcularse</t>
    </r>
    <r>
      <rPr>
        <sz val="16"/>
        <color theme="1"/>
        <rFont val="Calibri"/>
        <family val="2"/>
        <scheme val="minor"/>
      </rPr>
      <t xml:space="preserve"> utilizando las </t>
    </r>
    <r>
      <rPr>
        <b/>
        <sz val="16"/>
        <color theme="1"/>
        <rFont val="Calibri"/>
        <family val="2"/>
        <scheme val="minor"/>
      </rPr>
      <t>entalpías estándar de formación</t>
    </r>
    <r>
      <rPr>
        <sz val="16"/>
        <color theme="1"/>
        <rFont val="Calibri"/>
        <family val="2"/>
        <scheme val="minor"/>
      </rPr>
      <t xml:space="preserve"> y la </t>
    </r>
    <r>
      <rPr>
        <b/>
        <sz val="16"/>
        <color theme="1"/>
        <rFont val="Calibri"/>
        <family val="2"/>
        <scheme val="minor"/>
      </rPr>
      <t>Ley de Hess</t>
    </r>
    <r>
      <rPr>
        <sz val="16"/>
        <color theme="1"/>
        <rFont val="Calibri"/>
        <family val="2"/>
        <scheme val="minor"/>
      </rPr>
      <t>.</t>
    </r>
  </si>
  <si>
    <t>Escribimos la ecuación del Metanol</t>
  </si>
  <si>
    <t>combustión</t>
  </si>
  <si>
    <t>Buscamos las entalpías de formación (Tabla 1)</t>
  </si>
  <si>
    <t>ΔHf° (kJ/mol)</t>
  </si>
  <si>
    <t>CH₃OH(l)</t>
  </si>
  <si>
    <t>O₂(g)</t>
  </si>
  <si>
    <t>CO₂(g)</t>
  </si>
  <si>
    <t>H₂O(l)</t>
  </si>
  <si>
    <r>
      <t xml:space="preserve">Estos valores representan la energía asociada a </t>
    </r>
    <r>
      <rPr>
        <b/>
        <sz val="16"/>
        <color theme="1"/>
        <rFont val="Calibri"/>
        <family val="2"/>
        <scheme val="minor"/>
      </rPr>
      <t>formar 1 mol de cada sustancia a partir de sus elementos</t>
    </r>
    <r>
      <rPr>
        <sz val="16"/>
        <color theme="1"/>
        <rFont val="Calibri"/>
        <family val="2"/>
        <scheme val="minor"/>
      </rPr>
      <t>.</t>
    </r>
  </si>
  <si>
    <t>Calculamos la energía de los productos</t>
  </si>
  <si>
    <t>Los productos son:</t>
  </si>
  <si>
    <t>2 CO₂</t>
  </si>
  <si>
    <t>4 H₂O</t>
  </si>
  <si>
    <t>Sumando</t>
  </si>
  <si>
    <t>KJ</t>
  </si>
  <si>
    <t>Calculamos la energía de los reactivos</t>
  </si>
  <si>
    <t>Los reactivos son:</t>
  </si>
  <si>
    <t>2 CH₃OH</t>
  </si>
  <si>
    <t>3 O₂</t>
  </si>
  <si>
    <t>Aplicamos la Ley de Hess</t>
  </si>
  <si>
    <t>Porque todavía no da -726 ?</t>
  </si>
  <si>
    <t xml:space="preserve">Si nos fijamos, la ecuación está escrita para 2 moles de </t>
  </si>
  <si>
    <r>
      <t xml:space="preserve">Es decir, </t>
    </r>
    <r>
      <rPr>
        <b/>
        <sz val="16"/>
        <color theme="1"/>
        <rFont val="Calibri"/>
        <family val="2"/>
        <scheme val="minor"/>
      </rPr>
      <t>−1452,8 kJ corresponden a la combustión de 2 moles de metanol</t>
    </r>
    <r>
      <rPr>
        <sz val="16"/>
        <color theme="1"/>
        <rFont val="Calibri"/>
        <family val="2"/>
        <scheme val="minor"/>
      </rPr>
      <t>.</t>
    </r>
  </si>
  <si>
    <t>Pero queremos expresar la energía por mol, entonces:</t>
  </si>
  <si>
    <t>Resúmen</t>
  </si>
  <si>
    <t>Hasta ahora vimos  que:</t>
  </si>
  <si>
    <r>
      <t xml:space="preserve">1. Partimos de </t>
    </r>
    <r>
      <rPr>
        <b/>
        <sz val="16"/>
        <color theme="1"/>
        <rFont val="Calibri"/>
        <family val="2"/>
        <scheme val="minor"/>
      </rPr>
      <t>6 mol de CO</t>
    </r>
    <r>
      <rPr>
        <sz val="16"/>
        <color theme="1"/>
        <rFont val="Calibri"/>
        <family val="2"/>
        <scheme val="minor"/>
      </rPr>
      <t xml:space="preserve"> y </t>
    </r>
    <r>
      <rPr>
        <b/>
        <sz val="16"/>
        <color theme="1"/>
        <rFont val="Calibri"/>
        <family val="2"/>
        <scheme val="minor"/>
      </rPr>
      <t>8 mol de H₂</t>
    </r>
    <r>
      <rPr>
        <sz val="16"/>
        <color theme="1"/>
        <rFont val="Calibri"/>
        <family val="2"/>
        <scheme val="minor"/>
      </rPr>
      <t>.</t>
    </r>
  </si>
  <si>
    <r>
      <t xml:space="preserve">2. Obtuvimos </t>
    </r>
    <r>
      <rPr>
        <b/>
        <sz val="16"/>
        <color theme="1"/>
        <rFont val="Calibri"/>
        <family val="2"/>
        <scheme val="minor"/>
      </rPr>
      <t>4 mol de CH₃OH</t>
    </r>
    <r>
      <rPr>
        <sz val="16"/>
        <color theme="1"/>
        <rFont val="Calibri"/>
        <family val="2"/>
        <scheme val="minor"/>
      </rPr>
      <t>.</t>
    </r>
  </si>
  <si>
    <r>
      <t xml:space="preserve">3. Mediante la </t>
    </r>
    <r>
      <rPr>
        <b/>
        <sz val="16"/>
        <color theme="1"/>
        <rFont val="Calibri"/>
        <family val="2"/>
        <scheme val="minor"/>
      </rPr>
      <t>Tabla 1 (ΔHf°)</t>
    </r>
    <r>
      <rPr>
        <sz val="16"/>
        <color theme="1"/>
        <rFont val="Calibri"/>
        <family val="2"/>
        <scheme val="minor"/>
      </rPr>
      <t xml:space="preserve"> y la </t>
    </r>
    <r>
      <rPr>
        <b/>
        <sz val="16"/>
        <color theme="1"/>
        <rFont val="Calibri"/>
        <family val="2"/>
        <scheme val="minor"/>
      </rPr>
      <t>Ley de Hess</t>
    </r>
    <r>
      <rPr>
        <sz val="16"/>
        <color theme="1"/>
        <rFont val="Calibri"/>
        <family val="2"/>
        <scheme val="minor"/>
      </rPr>
      <t xml:space="preserve"> calculamos  que:</t>
    </r>
  </si>
  <si>
    <t xml:space="preserve">Con la tabla 2 calculamos directamente </t>
  </si>
  <si>
    <t>"Supongamos que tenemos esos 4 moles de metanol en un recipiente. ¿Cuánta masa representan?"</t>
  </si>
  <si>
    <t>De moles pasamos a trabajar con masa</t>
  </si>
  <si>
    <t>Utilizamos la tabla 4 o calculamos los moles</t>
  </si>
  <si>
    <t>"¿Cuánta energía contienen esos 128 gramos?"</t>
  </si>
  <si>
    <t>¿Y si tuviera solamente 1 gramo?</t>
  </si>
  <si>
    <t>Como sabemos:</t>
  </si>
  <si>
    <t>32,04 g → 726 kJ</t>
  </si>
  <si>
    <t>Entonces:</t>
  </si>
  <si>
    <t xml:space="preserve">implica </t>
  </si>
  <si>
    <t>Aparece el concepto  de Poder Calorífico , en este caso del metanol</t>
  </si>
  <si>
    <t xml:space="preserve">Comparaciones </t>
  </si>
  <si>
    <t>Combustible</t>
  </si>
  <si>
    <t>kJ/g</t>
  </si>
  <si>
    <t>Metanol</t>
  </si>
  <si>
    <t>22,7</t>
  </si>
  <si>
    <t>Etanol</t>
  </si>
  <si>
    <t>29,7</t>
  </si>
  <si>
    <t>Nafta</t>
  </si>
  <si>
    <t>≈45</t>
  </si>
  <si>
    <t>Metano</t>
  </si>
  <si>
    <t>55,5</t>
  </si>
  <si>
    <t>Hidrógeno</t>
  </si>
  <si>
    <t>141,9</t>
  </si>
  <si>
    <t>¿Por qué un kilogramo de hidrógeno entrega mucha más energía que un kilogramo de metanol?</t>
  </si>
  <si>
    <t>Cálcular</t>
  </si>
  <si>
    <t>Supongamos que una estufa necesita:</t>
  </si>
  <si>
    <t>5808 kJ</t>
  </si>
  <si>
    <t>¿Cuántos gramos de metanol necesito?</t>
  </si>
  <si>
    <t>¿Alcanza el metanol obtenido para calentar 2 litros de agua desde 20 °C hasta 90 °C?</t>
  </si>
  <si>
    <t>Energía necesaria para calentar agua</t>
  </si>
  <si>
    <r>
      <t xml:space="preserve">masa en </t>
    </r>
    <r>
      <rPr>
        <b/>
        <sz val="16"/>
        <color theme="1"/>
        <rFont val="Calibri"/>
        <family val="2"/>
        <scheme val="minor"/>
      </rPr>
      <t>kg</t>
    </r>
  </si>
  <si>
    <r>
      <t xml:space="preserve">calor específico en </t>
    </r>
    <r>
      <rPr>
        <b/>
        <sz val="16"/>
        <color theme="1"/>
        <rFont val="Calibri"/>
        <family val="2"/>
        <scheme val="minor"/>
      </rPr>
      <t>J/(kg·°C)</t>
    </r>
  </si>
  <si>
    <r>
      <t xml:space="preserve">temperatura en </t>
    </r>
    <r>
      <rPr>
        <b/>
        <sz val="16"/>
        <color theme="1"/>
        <rFont val="Calibri"/>
        <family val="2"/>
        <scheme val="minor"/>
      </rPr>
      <t>°C</t>
    </r>
  </si>
  <si>
    <t>Datos</t>
  </si>
  <si>
    <t>2 litros de agua</t>
  </si>
  <si>
    <t>Si se trabaja con gramos</t>
  </si>
  <si>
    <t>Como</t>
  </si>
  <si>
    <t>1L≈1kg</t>
  </si>
  <si>
    <t>entonces</t>
  </si>
  <si>
    <t>m=2kg</t>
  </si>
  <si>
    <t>2000 g</t>
  </si>
  <si>
    <t>Cambio de temperatura</t>
  </si>
  <si>
    <t xml:space="preserve">necesitamos </t>
  </si>
  <si>
    <t>Compáración</t>
  </si>
  <si>
    <t>Metanol disponible</t>
  </si>
  <si>
    <t>2904kJ</t>
  </si>
  <si>
    <t>Necesarios para el agua</t>
  </si>
  <si>
    <t>585kJ</t>
  </si>
  <si>
    <t>Conclusión:</t>
  </si>
  <si>
    <t>Los 4 moles de metanol son más que suficientes para calentar los 2 litros de agua.</t>
  </si>
  <si>
    <t>Cuanto metanol habría hecho falta exactamente?</t>
  </si>
  <si>
    <t>Le informamos que el período de pre-inscripción</t>
  </si>
  <si>
    <t>para la Semana de la Química, los Alimentos y la Biotecnología aún no se</t>
  </si>
  <si>
    <t>ha habilitado. El formulario estará disponible del 11 al 17 de agosto en</t>
  </si>
  <si>
    <t>nuestra página web:</t>
  </si>
  <si>
    <t>https://exactas.uba.ar/popularizacion/semanas-de-las-ciencias/</t>
  </si>
  <si>
    <t>Le recomendamos intentar nuevamente a partir de esa fecha.</t>
  </si>
  <si>
    <t>Energía para producir Metalnol</t>
  </si>
  <si>
    <t>¿Al formarse el metanol se libera energía o se absorbe?</t>
  </si>
  <si>
    <t>Se libera energía, pero mucho menos que cuando se quema</t>
  </si>
  <si>
    <t xml:space="preserve">Al producir 1 mol de metanol  a partir de  CO y </t>
  </si>
  <si>
    <t>se liberan aprox. -128.2 KJ/mol</t>
  </si>
  <si>
    <t xml:space="preserve">Es una reacción exotérmica porque </t>
  </si>
  <si>
    <t>ΔH&lt;0</t>
  </si>
  <si>
    <t>Si al producir metanol se liberan 128 kJ, ¿por qué al quemarlo libera 726 kJ?</t>
  </si>
  <si>
    <t>porque el metanol es más estable que CO + H₂.</t>
  </si>
  <si>
    <t>¡Esa es exactamente la pregunta correcta!</t>
  </si>
  <si>
    <r>
      <t xml:space="preserve">La respuesta está en que </t>
    </r>
    <r>
      <rPr>
        <b/>
        <sz val="16"/>
        <color theme="1"/>
        <rFont val="Calibri"/>
        <family val="2"/>
        <scheme val="minor"/>
      </rPr>
      <t>son dos reacciones diferentes</t>
    </r>
    <r>
      <rPr>
        <sz val="16"/>
        <color theme="1"/>
        <rFont val="Calibri"/>
        <family val="2"/>
        <scheme val="minor"/>
      </rPr>
      <t>.</t>
    </r>
  </si>
  <si>
    <t>Nivel de energía</t>
  </si>
  <si>
    <t>CO + 2H₂</t>
  </si>
  <si>
    <t>───────────────●</t>
  </si>
  <si>
    <t xml:space="preserve">        │</t>
  </si>
  <si>
    <t>La entalpía representa la altura energética de una sustancia</t>
  </si>
  <si>
    <t xml:space="preserve">        │ libera 128 kJ</t>
  </si>
  <si>
    <t xml:space="preserve">        ▼</t>
  </si>
  <si>
    <t xml:space="preserve">        │ libera 726 kJ</t>
  </si>
  <si>
    <t>CO₂ + H₂O</t>
  </si>
  <si>
    <t>1_Tabla de entalpías estándar de formación (ΔHf°)</t>
  </si>
  <si>
    <t>Estado</t>
  </si>
  <si>
    <t>H₂(g)</t>
  </si>
  <si>
    <t>gas</t>
  </si>
  <si>
    <t>N₂(g)</t>
  </si>
  <si>
    <t>C (grafito)</t>
  </si>
  <si>
    <t>sólido</t>
  </si>
  <si>
    <t>CO(g)</t>
  </si>
  <si>
    <t>líquido</t>
  </si>
  <si>
    <t>H₂O(g)</t>
  </si>
  <si>
    <t>CH₄(g)</t>
  </si>
  <si>
    <t>C₂H₅OH(l)</t>
  </si>
  <si>
    <t>NH₃(g)</t>
  </si>
  <si>
    <t>Con estos datos puedes calcular el ΔH de cualquier reacción:</t>
  </si>
  <si>
    <t>2_Tabla de entalpías de combustión (ΔHcomb°)</t>
  </si>
  <si>
    <t>ΔHcomb°  (kJ/mol)</t>
  </si>
  <si>
    <t>g</t>
  </si>
  <si>
    <t>Monóxido de carbono</t>
  </si>
  <si>
    <t>Etano</t>
  </si>
  <si>
    <t>Propano</t>
  </si>
  <si>
    <t>Butano</t>
  </si>
  <si>
    <t>Pentano</t>
  </si>
  <si>
    <t>l</t>
  </si>
  <si>
    <t>Hexano</t>
  </si>
  <si>
    <t>Heptano</t>
  </si>
  <si>
    <t>Octano</t>
  </si>
  <si>
    <t>Estas tablas te permiten calcular directamente la energía liberada:</t>
  </si>
  <si>
    <t>3_Sustancia Vs Masa molar</t>
  </si>
  <si>
    <t>Masa molar (g/mol)</t>
  </si>
  <si>
    <t>32,04</t>
  </si>
  <si>
    <t>44,01</t>
  </si>
  <si>
    <t>18,02</t>
  </si>
  <si>
    <t>28,01</t>
  </si>
  <si>
    <t>4_ Poder calorífico (kJ/g)</t>
  </si>
  <si>
    <t>44–46</t>
  </si>
  <si>
    <t>¿Por qué un automóvil no funciona igual con metanol que con nafta?</t>
  </si>
  <si>
    <r>
      <t xml:space="preserve">El </t>
    </r>
    <r>
      <rPr>
        <b/>
        <sz val="12"/>
        <color theme="1"/>
        <rFont val="Arial"/>
        <family val="2"/>
      </rPr>
      <t>poder calorífico</t>
    </r>
    <r>
      <rPr>
        <sz val="11"/>
        <color theme="1"/>
        <rFont val="Calibri"/>
        <family val="2"/>
        <scheme val="minor"/>
      </rPr>
      <t xml:space="preserve"> es la cantidad de energía térmica que libera un combustible al quemarse por completo por unidad de masa o volumen. </t>
    </r>
  </si>
  <si>
    <t xml:space="preserve">Indica el potencial energético del material y se expresa habitualmente en unidades como el kcal/kg, kJ/kg, o kWh/m³.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</si>
</sst>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8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5">
    <xf numFmtId="0" fontId="0" fillId="0" borderId="0" xfId="0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/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/>
    <xf numFmtId="0" fontId="5" fillId="0" borderId="0" xfId="0" applyFon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0" xfId="0" applyFont="1"/>
    <xf numFmtId="0" fontId="5" fillId="8" borderId="0" xfId="0" applyFont="1" applyFill="1"/>
    <xf numFmtId="0" fontId="0" fillId="8" borderId="0" xfId="0" applyFill="1"/>
    <xf numFmtId="0" fontId="0" fillId="0" borderId="0" xfId="0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horizontal="center" vertical="center" wrapText="1"/>
    </xf>
    <xf numFmtId="0" fontId="7" fillId="9" borderId="4" xfId="0" applyFont="1" applyFill="1" applyBorder="1" applyAlignment="1">
      <alignment vertical="center"/>
    </xf>
    <xf numFmtId="0" fontId="7" fillId="9" borderId="13" xfId="0" applyFont="1" applyFill="1" applyBorder="1"/>
    <xf numFmtId="0" fontId="7" fillId="9" borderId="13" xfId="0" applyFont="1" applyFill="1" applyBorder="1" applyAlignment="1">
      <alignment horizontal="center" vertical="center"/>
    </xf>
    <xf numFmtId="0" fontId="7" fillId="9" borderId="5" xfId="0" applyFont="1" applyFill="1" applyBorder="1"/>
    <xf numFmtId="0" fontId="3" fillId="9" borderId="0" xfId="0" applyFont="1" applyFill="1" applyAlignment="1">
      <alignment horizontal="right" vertical="center" wrapText="1"/>
    </xf>
    <xf numFmtId="0" fontId="0" fillId="9" borderId="0" xfId="0" applyFill="1" applyAlignment="1">
      <alignment horizontal="right" vertical="center" wrapText="1"/>
    </xf>
    <xf numFmtId="0" fontId="13" fillId="9" borderId="0" xfId="0" applyFont="1" applyFill="1"/>
    <xf numFmtId="0" fontId="0" fillId="9" borderId="0" xfId="0" applyFill="1" applyAlignment="1">
      <alignment horizontal="center" wrapText="1"/>
    </xf>
    <xf numFmtId="0" fontId="0" fillId="9" borderId="0" xfId="0" applyFill="1" applyAlignment="1">
      <alignment wrapText="1"/>
    </xf>
    <xf numFmtId="0" fontId="8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2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8" fillId="0" borderId="11" xfId="0" applyFont="1" applyBorder="1"/>
    <xf numFmtId="0" fontId="8" fillId="0" borderId="11" xfId="0" applyFont="1" applyBorder="1" applyAlignment="1">
      <alignment horizontal="left" vertical="center" indent="1"/>
    </xf>
    <xf numFmtId="0" fontId="8" fillId="0" borderId="12" xfId="0" applyFont="1" applyBorder="1"/>
    <xf numFmtId="0" fontId="7" fillId="3" borderId="7" xfId="0" applyFont="1" applyFill="1" applyBorder="1"/>
    <xf numFmtId="0" fontId="8" fillId="4" borderId="0" xfId="0" applyFont="1" applyFill="1"/>
    <xf numFmtId="0" fontId="8" fillId="4" borderId="0" xfId="0" applyFont="1" applyFill="1" applyAlignment="1">
      <alignment horizontal="left" vertical="center" indent="1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right" vertical="center" wrapText="1"/>
    </xf>
    <xf numFmtId="0" fontId="11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5" fillId="4" borderId="0" xfId="0" applyFont="1" applyFill="1"/>
    <xf numFmtId="0" fontId="8" fillId="10" borderId="0" xfId="0" applyFont="1" applyFill="1"/>
    <xf numFmtId="0" fontId="0" fillId="10" borderId="0" xfId="0" applyFill="1"/>
    <xf numFmtId="0" fontId="8" fillId="11" borderId="0" xfId="0" applyFont="1" applyFill="1"/>
    <xf numFmtId="0" fontId="0" fillId="11" borderId="0" xfId="0" applyFill="1"/>
    <xf numFmtId="0" fontId="8" fillId="3" borderId="0" xfId="0" applyFont="1" applyFill="1"/>
    <xf numFmtId="0" fontId="9" fillId="3" borderId="0" xfId="0" applyFont="1" applyFill="1"/>
    <xf numFmtId="0" fontId="3" fillId="4" borderId="0" xfId="0" applyFont="1" applyFill="1" applyAlignment="1">
      <alignment horizontal="righ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right" vertical="center" wrapText="1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vertical="center" wrapText="1"/>
    </xf>
    <xf numFmtId="0" fontId="8" fillId="4" borderId="14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/>
    <xf numFmtId="0" fontId="6" fillId="7" borderId="0" xfId="0" applyFont="1" applyFill="1" applyAlignment="1">
      <alignment vertical="center"/>
    </xf>
    <xf numFmtId="0" fontId="7" fillId="7" borderId="0" xfId="0" applyFont="1" applyFill="1"/>
    <xf numFmtId="0" fontId="0" fillId="12" borderId="0" xfId="0" applyFill="1"/>
    <xf numFmtId="0" fontId="9" fillId="12" borderId="4" xfId="0" applyFont="1" applyFill="1" applyBorder="1"/>
    <xf numFmtId="0" fontId="3" fillId="12" borderId="13" xfId="0" applyFont="1" applyFill="1" applyBorder="1"/>
    <xf numFmtId="0" fontId="3" fillId="12" borderId="5" xfId="0" applyFont="1" applyFill="1" applyBorder="1"/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8" fillId="9" borderId="0" xfId="0" applyFont="1" applyFill="1"/>
    <xf numFmtId="0" fontId="0" fillId="13" borderId="0" xfId="0" applyFill="1"/>
    <xf numFmtId="0" fontId="8" fillId="0" borderId="0" xfId="0" applyFont="1" applyAlignment="1">
      <alignment horizontal="left"/>
    </xf>
    <xf numFmtId="0" fontId="9" fillId="0" borderId="0" xfId="0" applyFont="1"/>
    <xf numFmtId="0" fontId="17" fillId="0" borderId="6" xfId="0" applyFont="1" applyBorder="1"/>
    <xf numFmtId="0" fontId="17" fillId="0" borderId="9" xfId="0" applyFont="1" applyBorder="1"/>
    <xf numFmtId="0" fontId="4" fillId="0" borderId="9" xfId="1" applyBorder="1"/>
    <xf numFmtId="0" fontId="0" fillId="3" borderId="0" xfId="0" applyFill="1" applyAlignment="1">
      <alignment horizontal="center"/>
    </xf>
    <xf numFmtId="0" fontId="8" fillId="14" borderId="9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419"/>
              <a:t>Reactivos, producto y excedentes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Estequiometría!$E$7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Estequiometría!$D$8:$D$12</c:f>
              <c:strCache>
                <c:ptCount val="5"/>
                <c:pt idx="0">
                  <c:v>CO disponible</c:v>
                </c:pt>
                <c:pt idx="1">
                  <c:v>H2 disponible</c:v>
                </c:pt>
                <c:pt idx="2">
                  <c:v>CH3OH producido</c:v>
                </c:pt>
                <c:pt idx="3">
                  <c:v>CO sobrante</c:v>
                </c:pt>
                <c:pt idx="4">
                  <c:v>H2 sobrante</c:v>
                </c:pt>
              </c:strCache>
            </c:strRef>
          </c:cat>
          <c:val>
            <c:numRef>
              <c:f>Estequiometría!$E$8:$E$12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F-458D-9DB3-1CFE7FFC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419"/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419"/>
              <a:t>Reactivos, producto y excedentes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Estequiometría!$E$31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Estequiometría!$D$32:$D$36</c:f>
              <c:strCache>
                <c:ptCount val="5"/>
                <c:pt idx="0">
                  <c:v>CO disponible</c:v>
                </c:pt>
                <c:pt idx="1">
                  <c:v>H2 disponible</c:v>
                </c:pt>
                <c:pt idx="2">
                  <c:v>CH3OH producido</c:v>
                </c:pt>
                <c:pt idx="3">
                  <c:v>CO sobrante</c:v>
                </c:pt>
                <c:pt idx="4">
                  <c:v>H2 sobrante</c:v>
                </c:pt>
              </c:strCache>
            </c:strRef>
          </c:cat>
          <c:val>
            <c:numRef>
              <c:f>Estequiometría!$E$32:$E$36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3-4090-AF13-00743EA59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419"/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Reactivos,</a:t>
            </a:r>
            <a:r>
              <a:rPr lang="en-US" baseline="0"/>
              <a:t> productos y excedentes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0.19486111111111112"/>
          <c:w val="0.89655796150481193"/>
          <c:h val="0.6700309857101195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Estequiometría!$E$31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67-4CC2-8312-BFF3EC301D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67-4CC2-8312-BFF3EC301D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67-4CC2-8312-BFF3EC301D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67-4CC2-8312-BFF3EC301D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567-4CC2-8312-BFF3EC301D53}"/>
              </c:ext>
            </c:extLst>
          </c:dPt>
          <c:cat>
            <c:strRef>
              <c:f>Estequiometría!$D$32:$D$36</c:f>
              <c:strCache>
                <c:ptCount val="5"/>
                <c:pt idx="0">
                  <c:v>CO disponible</c:v>
                </c:pt>
                <c:pt idx="1">
                  <c:v>H2 disponible</c:v>
                </c:pt>
                <c:pt idx="2">
                  <c:v>CH3OH producido</c:v>
                </c:pt>
                <c:pt idx="3">
                  <c:v>CO sobrante</c:v>
                </c:pt>
                <c:pt idx="4">
                  <c:v>H2 sobrante</c:v>
                </c:pt>
              </c:strCache>
            </c:strRef>
          </c:cat>
          <c:val>
            <c:numRef>
              <c:f>Estequiometría!$E$32:$E$36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CED-982A-AF6C55A0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518448"/>
        <c:axId val="1469519408"/>
      </c:barChart>
      <c:catAx>
        <c:axId val="14695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69519408"/>
        <c:crosses val="autoZero"/>
        <c:auto val="1"/>
        <c:lblAlgn val="ctr"/>
        <c:lblOffset val="100"/>
        <c:noMultiLvlLbl val="0"/>
      </c:catAx>
      <c:valAx>
        <c:axId val="14695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6951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7.8046790913725711E-2"/>
          <c:y val="0.18556601528829839"/>
          <c:w val="0.90276855680809687"/>
          <c:h val="0.6434105259508701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Estequiometría!$H$107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28-440F-A21A-AB6374899F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28-440F-A21A-AB6374899F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28-440F-A21A-AB6374899FB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28-440F-A21A-AB6374899FB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28-440F-A21A-AB6374899FB1}"/>
              </c:ext>
            </c:extLst>
          </c:dPt>
          <c:cat>
            <c:strRef>
              <c:f>Estequiometría!$G$108:$G$112</c:f>
              <c:strCache>
                <c:ptCount val="5"/>
                <c:pt idx="0">
                  <c:v>CO disponible</c:v>
                </c:pt>
                <c:pt idx="1">
                  <c:v>H2 disponible</c:v>
                </c:pt>
                <c:pt idx="2">
                  <c:v>CH3OH producido</c:v>
                </c:pt>
                <c:pt idx="3">
                  <c:v>CO sobrante</c:v>
                </c:pt>
                <c:pt idx="4">
                  <c:v>H2 sobrante</c:v>
                </c:pt>
              </c:strCache>
            </c:strRef>
          </c:cat>
          <c:val>
            <c:numRef>
              <c:f>Estequiometría!$H$108:$H$112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8-462A-99E6-72F5ECAB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040015"/>
        <c:axId val="1145040495"/>
      </c:barChart>
      <c:catAx>
        <c:axId val="114504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45040495"/>
        <c:crosses val="autoZero"/>
        <c:auto val="1"/>
        <c:lblAlgn val="ctr"/>
        <c:lblOffset val="100"/>
        <c:noMultiLvlLbl val="0"/>
      </c:catAx>
      <c:valAx>
        <c:axId val="11450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4504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419"/>
              <a:t>Reactivos, producto y excedentes</a:t>
            </a:r>
          </a:p>
        </c:rich>
      </c:tx>
      <c:layout>
        <c:manualLayout>
          <c:xMode val="edge"/>
          <c:yMode val="edge"/>
          <c:x val="0.18674500000000002"/>
          <c:y val="1.8814814814814815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Estequiometría!$E$7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Estequiometría!$D$8:$D$12</c:f>
              <c:strCache>
                <c:ptCount val="5"/>
                <c:pt idx="0">
                  <c:v>CO disponible</c:v>
                </c:pt>
                <c:pt idx="1">
                  <c:v>H2 disponible</c:v>
                </c:pt>
                <c:pt idx="2">
                  <c:v>CH3OH producido</c:v>
                </c:pt>
                <c:pt idx="3">
                  <c:v>CO sobrante</c:v>
                </c:pt>
                <c:pt idx="4">
                  <c:v>H2 sobrante</c:v>
                </c:pt>
              </c:strCache>
            </c:strRef>
          </c:cat>
          <c:val>
            <c:numRef>
              <c:f>Estequiometría!$E$8:$E$12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F-48F6-B9CE-2444FDAE1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419"/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TP_3!$L$21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44-4DF8-B0F3-A8EE0315F5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44-4DF8-B0F3-A8EE0315F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44-4DF8-B0F3-A8EE0315F59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44-4DF8-B0F3-A8EE0315F59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44-4DF8-B0F3-A8EE0315F592}"/>
              </c:ext>
            </c:extLst>
          </c:dPt>
          <c:cat>
            <c:strRef>
              <c:f>TP_3!$K$22:$K$26</c:f>
              <c:strCache>
                <c:ptCount val="5"/>
                <c:pt idx="0">
                  <c:v>CO disponible</c:v>
                </c:pt>
                <c:pt idx="1">
                  <c:v>H2 disponible</c:v>
                </c:pt>
                <c:pt idx="2">
                  <c:v>CH3OH producido</c:v>
                </c:pt>
                <c:pt idx="3">
                  <c:v>CO sobrante</c:v>
                </c:pt>
                <c:pt idx="4">
                  <c:v>H2 sobrante</c:v>
                </c:pt>
              </c:strCache>
            </c:strRef>
          </c:cat>
          <c:val>
            <c:numRef>
              <c:f>TP_3!$L$22:$L$26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8-463D-BC63-4225C83E4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341487"/>
        <c:axId val="777330447"/>
      </c:barChart>
      <c:catAx>
        <c:axId val="77734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77330447"/>
        <c:crosses val="autoZero"/>
        <c:auto val="1"/>
        <c:lblAlgn val="ctr"/>
        <c:lblOffset val="100"/>
        <c:noMultiLvlLbl val="0"/>
      </c:catAx>
      <c:valAx>
        <c:axId val="7773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7734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4.xml"/><Relationship Id="rId3" Type="http://schemas.openxmlformats.org/officeDocument/2006/relationships/chart" Target="../charts/chart2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openxmlformats.org/officeDocument/2006/relationships/image" Target="../media/image8.pn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14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5.xml"/><Relationship Id="rId1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chart" Target="../charts/chart6.xml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466725</xdr:colOff>
      <xdr:row>2</xdr:row>
      <xdr:rowOff>161925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0</xdr:col>
      <xdr:colOff>628650</xdr:colOff>
      <xdr:row>40</xdr:row>
      <xdr:rowOff>161924</xdr:rowOff>
    </xdr:from>
    <xdr:to>
      <xdr:col>3</xdr:col>
      <xdr:colOff>1038225</xdr:colOff>
      <xdr:row>53</xdr:row>
      <xdr:rowOff>110633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B93B30-59F3-41C4-A1CC-79A57703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10839449"/>
          <a:ext cx="4086225" cy="2425209"/>
        </a:xfrm>
        <a:prstGeom prst="rect">
          <a:avLst/>
        </a:prstGeom>
      </xdr:spPr>
    </xdr:pic>
    <xdr:clientData/>
  </xdr:twoCellAnchor>
  <xdr:oneCellAnchor>
    <xdr:from>
      <xdr:col>3</xdr:col>
      <xdr:colOff>762000</xdr:colOff>
      <xdr:row>19</xdr:row>
      <xdr:rowOff>38100</xdr:rowOff>
    </xdr:from>
    <xdr:ext cx="4624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F82874C-BDF4-4A90-9BCE-A7BD8373F90F}"/>
                </a:ext>
              </a:extLst>
            </xdr:cNvPr>
            <xdr:cNvSpPr txBox="1"/>
          </xdr:nvSpPr>
          <xdr:spPr>
            <a:xfrm>
              <a:off x="762000" y="6515100"/>
              <a:ext cx="4624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CH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m:rPr>
                        <m:sty m:val="p"/>
                      </m:rPr>
                      <a:rPr lang="es-MX" sz="1100" b="0" i="1">
                        <a:latin typeface="Cambria Math" panose="02040503050406030204" pitchFamily="18" charset="0"/>
                      </a:rPr>
                      <m:t>OH</m:t>
                    </m:r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F82874C-BDF4-4A90-9BCE-A7BD8373F90F}"/>
                </a:ext>
              </a:extLst>
            </xdr:cNvPr>
            <xdr:cNvSpPr txBox="1"/>
          </xdr:nvSpPr>
          <xdr:spPr>
            <a:xfrm>
              <a:off x="762000" y="6515100"/>
              <a:ext cx="4624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CH</a:t>
              </a:r>
              <a:r>
                <a:rPr lang="es-419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3 OH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20</xdr:row>
      <xdr:rowOff>190500</xdr:rowOff>
    </xdr:from>
    <xdr:ext cx="98584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44F10744-A973-4D09-A08F-0958535A1DD4}"/>
                </a:ext>
              </a:extLst>
            </xdr:cNvPr>
            <xdr:cNvSpPr txBox="1"/>
          </xdr:nvSpPr>
          <xdr:spPr>
            <a:xfrm>
              <a:off x="3676650" y="4000500"/>
              <a:ext cx="98584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419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s-MX" sz="1400" b="0" i="1">
                          <a:latin typeface="Cambria Math" panose="02040503050406030204" pitchFamily="18" charset="0"/>
                        </a:rPr>
                        <m:t> 2   </m:t>
                      </m:r>
                    </m:sub>
                  </m:sSub>
                </m:oMath>
              </a14:m>
              <a:r>
                <a:rPr lang="es-419" sz="1400"/>
                <a:t>Sobrante</a:t>
              </a: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44F10744-A973-4D09-A08F-0958535A1DD4}"/>
                </a:ext>
              </a:extLst>
            </xdr:cNvPr>
            <xdr:cNvSpPr txBox="1"/>
          </xdr:nvSpPr>
          <xdr:spPr>
            <a:xfrm>
              <a:off x="3676650" y="4000500"/>
              <a:ext cx="98584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400" b="0" i="0">
                  <a:latin typeface="Cambria Math" panose="02040503050406030204" pitchFamily="18" charset="0"/>
                </a:rPr>
                <a:t>H</a:t>
              </a:r>
              <a:r>
                <a:rPr lang="es-419" sz="1400" b="0" i="0">
                  <a:latin typeface="Cambria Math" panose="02040503050406030204" pitchFamily="18" charset="0"/>
                </a:rPr>
                <a:t>_(</a:t>
              </a:r>
              <a:r>
                <a:rPr lang="es-MX" sz="1400" b="0" i="0">
                  <a:latin typeface="Cambria Math" panose="02040503050406030204" pitchFamily="18" charset="0"/>
                </a:rPr>
                <a:t> 2   </a:t>
              </a:r>
              <a:r>
                <a:rPr lang="es-419" sz="1400" b="0" i="0">
                  <a:latin typeface="Cambria Math" panose="02040503050406030204" pitchFamily="18" charset="0"/>
                </a:rPr>
                <a:t>)</a:t>
              </a:r>
              <a:r>
                <a:rPr lang="es-419" sz="1400"/>
                <a:t>Sobrante</a:t>
              </a:r>
            </a:p>
          </xdr:txBody>
        </xdr:sp>
      </mc:Fallback>
    </mc:AlternateContent>
    <xdr:clientData/>
  </xdr:oneCellAnchor>
  <xdr:oneCellAnchor>
    <xdr:from>
      <xdr:col>6</xdr:col>
      <xdr:colOff>0</xdr:colOff>
      <xdr:row>30</xdr:row>
      <xdr:rowOff>0</xdr:rowOff>
    </xdr:from>
    <xdr:ext cx="5400000" cy="2700000"/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A44BB569-008F-4067-B0D9-033F151C2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10</xdr:col>
      <xdr:colOff>695325</xdr:colOff>
      <xdr:row>2</xdr:row>
      <xdr:rowOff>9525</xdr:rowOff>
    </xdr:from>
    <xdr:to>
      <xdr:col>16</xdr:col>
      <xdr:colOff>524613</xdr:colOff>
      <xdr:row>19</xdr:row>
      <xdr:rowOff>77716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0EE567E-A999-F0E3-CAFF-3EA2760B9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96775" y="390525"/>
          <a:ext cx="4267938" cy="3306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600411</xdr:colOff>
      <xdr:row>28</xdr:row>
      <xdr:rowOff>133395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2D5923C-4D83-4639-BE85-AADCBCF71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6900" y="8201025"/>
          <a:ext cx="2410161" cy="323895"/>
        </a:xfrm>
        <a:prstGeom prst="rect">
          <a:avLst/>
        </a:prstGeom>
      </xdr:spPr>
    </xdr:pic>
    <xdr:clientData/>
  </xdr:twoCellAnchor>
  <xdr:twoCellAnchor>
    <xdr:from>
      <xdr:col>15</xdr:col>
      <xdr:colOff>123825</xdr:colOff>
      <xdr:row>27</xdr:row>
      <xdr:rowOff>80962</xdr:rowOff>
    </xdr:from>
    <xdr:to>
      <xdr:col>22</xdr:col>
      <xdr:colOff>428625</xdr:colOff>
      <xdr:row>41</xdr:row>
      <xdr:rowOff>157162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451203E-3F65-0530-9EBD-C8F94FB35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285750</xdr:colOff>
      <xdr:row>57</xdr:row>
      <xdr:rowOff>104775</xdr:rowOff>
    </xdr:from>
    <xdr:to>
      <xdr:col>3</xdr:col>
      <xdr:colOff>1076325</xdr:colOff>
      <xdr:row>71</xdr:row>
      <xdr:rowOff>42961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CB25DCA-4325-BA50-540B-01D9C4D51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14049375"/>
          <a:ext cx="4467225" cy="2614711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55</xdr:row>
      <xdr:rowOff>114300</xdr:rowOff>
    </xdr:from>
    <xdr:to>
      <xdr:col>19</xdr:col>
      <xdr:colOff>175643</xdr:colOff>
      <xdr:row>74</xdr:row>
      <xdr:rowOff>183537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9A96A15-BEA6-40B2-8D4A-3A8A8356B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30250" y="13658850"/>
          <a:ext cx="3366518" cy="3717312"/>
        </a:xfrm>
        <a:prstGeom prst="rect">
          <a:avLst/>
        </a:prstGeom>
      </xdr:spPr>
    </xdr:pic>
    <xdr:clientData/>
  </xdr:twoCellAnchor>
  <xdr:twoCellAnchor editAs="oneCell">
    <xdr:from>
      <xdr:col>0</xdr:col>
      <xdr:colOff>268860</xdr:colOff>
      <xdr:row>74</xdr:row>
      <xdr:rowOff>95250</xdr:rowOff>
    </xdr:from>
    <xdr:to>
      <xdr:col>3</xdr:col>
      <xdr:colOff>1138243</xdr:colOff>
      <xdr:row>87</xdr:row>
      <xdr:rowOff>86710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A02C342-918B-F520-69E9-8323C8ECB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860" y="17287875"/>
          <a:ext cx="4546033" cy="2506060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0</xdr:row>
      <xdr:rowOff>104775</xdr:rowOff>
    </xdr:from>
    <xdr:to>
      <xdr:col>0</xdr:col>
      <xdr:colOff>1428750</xdr:colOff>
      <xdr:row>5</xdr:row>
      <xdr:rowOff>20466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5D0BC2B-DC00-BC88-37C6-ECD7A889A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3875" y="104775"/>
          <a:ext cx="904875" cy="868191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257174</xdr:colOff>
      <xdr:row>91</xdr:row>
      <xdr:rowOff>29886</xdr:rowOff>
    </xdr:from>
    <xdr:to>
      <xdr:col>4</xdr:col>
      <xdr:colOff>809625</xdr:colOff>
      <xdr:row>107</xdr:row>
      <xdr:rowOff>108387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E6D407F-94CF-D612-DD88-0EFE9F14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7174" y="20499111"/>
          <a:ext cx="5524501" cy="3155076"/>
        </a:xfrm>
        <a:prstGeom prst="rect">
          <a:avLst/>
        </a:prstGeom>
      </xdr:spPr>
    </xdr:pic>
    <xdr:clientData/>
  </xdr:twoCellAnchor>
  <xdr:twoCellAnchor editAs="oneCell">
    <xdr:from>
      <xdr:col>0</xdr:col>
      <xdr:colOff>209549</xdr:colOff>
      <xdr:row>108</xdr:row>
      <xdr:rowOff>38100</xdr:rowOff>
    </xdr:from>
    <xdr:to>
      <xdr:col>4</xdr:col>
      <xdr:colOff>785166</xdr:colOff>
      <xdr:row>123</xdr:row>
      <xdr:rowOff>77204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65B94DE-C168-53F0-3A7B-9D8C18C98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9549" y="23745825"/>
          <a:ext cx="5547667" cy="2896604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102</xdr:row>
      <xdr:rowOff>142875</xdr:rowOff>
    </xdr:from>
    <xdr:to>
      <xdr:col>15</xdr:col>
      <xdr:colOff>152400</xdr:colOff>
      <xdr:row>116</xdr:row>
      <xdr:rowOff>14287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5C0436F-22AF-AD57-788A-E3346AD9A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11</xdr:col>
      <xdr:colOff>203479</xdr:colOff>
      <xdr:row>91</xdr:row>
      <xdr:rowOff>163444</xdr:rowOff>
    </xdr:from>
    <xdr:to>
      <xdr:col>16</xdr:col>
      <xdr:colOff>466725</xdr:colOff>
      <xdr:row>97</xdr:row>
      <xdr:rowOff>104775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1E42432-A9B1-FBF1-7B31-63162CE0A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966979" y="20651719"/>
          <a:ext cx="3539846" cy="1112906"/>
        </a:xfrm>
        <a:prstGeom prst="rect">
          <a:avLst/>
        </a:prstGeom>
      </xdr:spPr>
    </xdr:pic>
    <xdr:clientData/>
  </xdr:twoCellAnchor>
  <xdr:oneCellAnchor>
    <xdr:from>
      <xdr:col>0</xdr:col>
      <xdr:colOff>895350</xdr:colOff>
      <xdr:row>19</xdr:row>
      <xdr:rowOff>138112</xdr:rowOff>
    </xdr:from>
    <xdr:ext cx="2333716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DC6AF906-73BA-8D56-D0CF-2CC492C405FC}"/>
                </a:ext>
              </a:extLst>
            </xdr:cNvPr>
            <xdr:cNvSpPr txBox="1"/>
          </xdr:nvSpPr>
          <xdr:spPr>
            <a:xfrm>
              <a:off x="895350" y="3757612"/>
              <a:ext cx="2333716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800">
                        <a:latin typeface="Cambria Math" panose="02040503050406030204" pitchFamily="18" charset="0"/>
                      </a:rPr>
                      <m:t>3</m:t>
                    </m:r>
                    <m:r>
                      <a:rPr lang="es-AR" sz="1800" i="1">
                        <a:latin typeface="Cambria Math" panose="02040503050406030204" pitchFamily="18" charset="0"/>
                      </a:rPr>
                      <m:t>𝐶𝑂</m:t>
                    </m:r>
                    <m:r>
                      <a:rPr lang="es-AR" sz="1800" i="0">
                        <a:latin typeface="Cambria Math" panose="02040503050406030204" pitchFamily="18" charset="0"/>
                      </a:rPr>
                      <m:t>+8</m:t>
                    </m:r>
                    <m:sSub>
                      <m:sSubPr>
                        <m:ctrlPr>
                          <a:rPr lang="es-AR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AR" sz="18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AR" sz="1800" i="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AR" sz="1800" i="0">
                        <a:latin typeface="Cambria Math" panose="02040503050406030204" pitchFamily="18" charset="0"/>
                      </a:rPr>
                      <m:t>→3</m:t>
                    </m:r>
                    <m:r>
                      <a:rPr lang="es-AR" sz="18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AR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AR" sz="18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AR" sz="180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s-AR" sz="1800" b="0" i="1">
                        <a:latin typeface="Cambria Math" panose="02040503050406030204" pitchFamily="18" charset="0"/>
                      </a:rPr>
                      <m:t>𝑂𝐻</m:t>
                    </m:r>
                  </m:oMath>
                </m:oMathPara>
              </a14:m>
              <a:endParaRPr lang="es-AR" sz="18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DC6AF906-73BA-8D56-D0CF-2CC492C405FC}"/>
                </a:ext>
              </a:extLst>
            </xdr:cNvPr>
            <xdr:cNvSpPr txBox="1"/>
          </xdr:nvSpPr>
          <xdr:spPr>
            <a:xfrm>
              <a:off x="895350" y="3757612"/>
              <a:ext cx="2333716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800" i="0">
                  <a:latin typeface="Cambria Math" panose="02040503050406030204" pitchFamily="18" charset="0"/>
                </a:rPr>
                <a:t>3𝐶𝑂+8𝐻_2→3𝐶𝐻_3</a:t>
              </a:r>
              <a:r>
                <a:rPr lang="es-AR" sz="1800" b="0" i="0">
                  <a:latin typeface="Cambria Math" panose="02040503050406030204" pitchFamily="18" charset="0"/>
                </a:rPr>
                <a:t> 𝑂𝐻</a:t>
              </a:r>
              <a:endParaRPr lang="es-AR" sz="18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1000125</xdr:colOff>
      <xdr:row>3</xdr:row>
      <xdr:rowOff>171450</xdr:rowOff>
    </xdr:from>
    <xdr:to>
      <xdr:col>6</xdr:col>
      <xdr:colOff>76479</xdr:colOff>
      <xdr:row>5</xdr:row>
      <xdr:rowOff>95307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3A6456-716E-69DE-A607-F5A88CA15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742950"/>
          <a:ext cx="2000529" cy="409632"/>
        </a:xfrm>
        <a:prstGeom prst="rect">
          <a:avLst/>
        </a:prstGeom>
      </xdr:spPr>
    </xdr:pic>
    <xdr:clientData/>
  </xdr:twoCellAnchor>
  <xdr:oneCellAnchor>
    <xdr:from>
      <xdr:col>8</xdr:col>
      <xdr:colOff>333375</xdr:colOff>
      <xdr:row>4</xdr:row>
      <xdr:rowOff>38100</xdr:rowOff>
    </xdr:from>
    <xdr:ext cx="5400000" cy="270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4D279A6-9FF3-4767-AF40-23849FE00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752475</xdr:colOff>
      <xdr:row>8</xdr:row>
      <xdr:rowOff>66675</xdr:rowOff>
    </xdr:from>
    <xdr:to>
      <xdr:col>2</xdr:col>
      <xdr:colOff>133350</xdr:colOff>
      <xdr:row>12</xdr:row>
      <xdr:rowOff>172866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E80BD6-3FAC-4164-818E-4D3F81A1A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" y="1590675"/>
          <a:ext cx="904875" cy="86819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26</xdr:row>
      <xdr:rowOff>180975</xdr:rowOff>
    </xdr:from>
    <xdr:to>
      <xdr:col>4</xdr:col>
      <xdr:colOff>657685</xdr:colOff>
      <xdr:row>29</xdr:row>
      <xdr:rowOff>95318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92A93CB-3FAD-61A9-5B4A-CD647AED1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0350" y="5324475"/>
          <a:ext cx="3296110" cy="485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825285</xdr:colOff>
      <xdr:row>4</xdr:row>
      <xdr:rowOff>152401</xdr:rowOff>
    </xdr:from>
    <xdr:to>
      <xdr:col>7</xdr:col>
      <xdr:colOff>895350</xdr:colOff>
      <xdr:row>17</xdr:row>
      <xdr:rowOff>82383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CD1F7C-F0F3-40CE-8C97-29C40918C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6060" y="1066801"/>
          <a:ext cx="4242015" cy="2444582"/>
        </a:xfrm>
        <a:prstGeom prst="rect">
          <a:avLst/>
        </a:prstGeom>
      </xdr:spPr>
    </xdr:pic>
    <xdr:clientData/>
  </xdr:twoCellAnchor>
  <xdr:twoCellAnchor editAs="oneCell">
    <xdr:from>
      <xdr:col>3</xdr:col>
      <xdr:colOff>1104898</xdr:colOff>
      <xdr:row>18</xdr:row>
      <xdr:rowOff>28576</xdr:rowOff>
    </xdr:from>
    <xdr:to>
      <xdr:col>8</xdr:col>
      <xdr:colOff>357054</xdr:colOff>
      <xdr:row>30</xdr:row>
      <xdr:rowOff>47626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F3D61D-49F5-46D1-8D47-702499381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5673" y="3648076"/>
          <a:ext cx="4414706" cy="23050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203479</xdr:colOff>
      <xdr:row>5</xdr:row>
      <xdr:rowOff>11044</xdr:rowOff>
    </xdr:from>
    <xdr:to>
      <xdr:col>17</xdr:col>
      <xdr:colOff>695325</xdr:colOff>
      <xdr:row>10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5DB163-DE2E-4A69-AF1C-91C4744EB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5854" y="1087369"/>
          <a:ext cx="3539846" cy="114148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</xdr:row>
      <xdr:rowOff>9525</xdr:rowOff>
    </xdr:from>
    <xdr:to>
      <xdr:col>6</xdr:col>
      <xdr:colOff>1143279</xdr:colOff>
      <xdr:row>2</xdr:row>
      <xdr:rowOff>85782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2C3AAAE-8D4B-491D-A868-B3D5E360C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0" y="200025"/>
          <a:ext cx="2000529" cy="409632"/>
        </a:xfrm>
        <a:prstGeom prst="rect">
          <a:avLst/>
        </a:prstGeom>
      </xdr:spPr>
    </xdr:pic>
    <xdr:clientData/>
  </xdr:twoCellAnchor>
  <xdr:twoCellAnchor>
    <xdr:from>
      <xdr:col>12</xdr:col>
      <xdr:colOff>152400</xdr:colOff>
      <xdr:row>14</xdr:row>
      <xdr:rowOff>90487</xdr:rowOff>
    </xdr:from>
    <xdr:to>
      <xdr:col>18</xdr:col>
      <xdr:colOff>152400</xdr:colOff>
      <xdr:row>28</xdr:row>
      <xdr:rowOff>166687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F01F7B0-F210-4C21-B464-5E3B93BDB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180975</xdr:colOff>
      <xdr:row>35</xdr:row>
      <xdr:rowOff>23812</xdr:rowOff>
    </xdr:from>
    <xdr:ext cx="1129925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D0FEFE27-4CF8-9762-F8DB-A9796C078A5B}"/>
                </a:ext>
              </a:extLst>
            </xdr:cNvPr>
            <xdr:cNvSpPr txBox="1"/>
          </xdr:nvSpPr>
          <xdr:spPr>
            <a:xfrm>
              <a:off x="10391775" y="7634287"/>
              <a:ext cx="112992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419" sz="1600">
                      <a:latin typeface="Cambria Math" panose="02040503050406030204" pitchFamily="18" charset="0"/>
                    </a:rPr>
                    <m:t>ℂ</m:t>
                  </m:r>
                  <m:r>
                    <a:rPr lang="es-419" sz="1600" i="1">
                      <a:latin typeface="Cambria Math" panose="02040503050406030204" pitchFamily="18" charset="0"/>
                    </a:rPr>
                    <m:t>𝑂</m:t>
                  </m:r>
                  <m:r>
                    <a:rPr lang="es-419" sz="160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419" sz="1600"/>
                <a:t>6 moles</a:t>
              </a: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D0FEFE27-4CF8-9762-F8DB-A9796C078A5B}"/>
                </a:ext>
              </a:extLst>
            </xdr:cNvPr>
            <xdr:cNvSpPr txBox="1"/>
          </xdr:nvSpPr>
          <xdr:spPr>
            <a:xfrm>
              <a:off x="10391775" y="7634287"/>
              <a:ext cx="112992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600" i="0">
                  <a:latin typeface="Cambria Math" panose="02040503050406030204" pitchFamily="18" charset="0"/>
                </a:rPr>
                <a:t>ℂ𝑂=</a:t>
              </a:r>
              <a:r>
                <a:rPr lang="es-419" sz="1600"/>
                <a:t>6 moles</a:t>
              </a:r>
            </a:p>
          </xdr:txBody>
        </xdr:sp>
      </mc:Fallback>
    </mc:AlternateContent>
    <xdr:clientData/>
  </xdr:oneCellAnchor>
  <xdr:oneCellAnchor>
    <xdr:from>
      <xdr:col>11</xdr:col>
      <xdr:colOff>161925</xdr:colOff>
      <xdr:row>36</xdr:row>
      <xdr:rowOff>109537</xdr:rowOff>
    </xdr:from>
    <xdr:ext cx="1227580" cy="2405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F771F9E-9569-2220-0B0D-4063B9B3CCC2}"/>
                </a:ext>
              </a:extLst>
            </xdr:cNvPr>
            <xdr:cNvSpPr txBox="1"/>
          </xdr:nvSpPr>
          <xdr:spPr>
            <a:xfrm>
              <a:off x="10372725" y="7910512"/>
              <a:ext cx="1227580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6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419" sz="16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s-419" sz="16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MX" sz="16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=8 </m:t>
                    </m:r>
                    <m:r>
                      <m:rPr>
                        <m:sty m:val="p"/>
                      </m:rPr>
                      <a:rPr lang="es-MX" sz="16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moles</m:t>
                    </m:r>
                  </m:oMath>
                </m:oMathPara>
              </a14:m>
              <a:endParaRPr lang="es-419" sz="16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F771F9E-9569-2220-0B0D-4063B9B3CCC2}"/>
                </a:ext>
              </a:extLst>
            </xdr:cNvPr>
            <xdr:cNvSpPr txBox="1"/>
          </xdr:nvSpPr>
          <xdr:spPr>
            <a:xfrm>
              <a:off x="10372725" y="7910512"/>
              <a:ext cx="1227580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419" sz="16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𝐻_2</a:t>
              </a:r>
              <a:r>
                <a:rPr lang="es-MX" sz="16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=8 moles</a:t>
              </a:r>
              <a:endParaRPr lang="es-419" sz="16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361950</xdr:colOff>
      <xdr:row>39</xdr:row>
      <xdr:rowOff>100012</xdr:rowOff>
    </xdr:from>
    <xdr:ext cx="608436" cy="518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2F503786-2A84-3AF3-E7B5-44A2F09B32A8}"/>
                </a:ext>
              </a:extLst>
            </xdr:cNvPr>
            <xdr:cNvSpPr txBox="1"/>
          </xdr:nvSpPr>
          <xdr:spPr>
            <a:xfrm>
              <a:off x="12096750" y="8472487"/>
              <a:ext cx="608436" cy="518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419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800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lang="es-419" sz="1800" i="0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  <m:r>
                      <a:rPr lang="es-419" sz="1800" i="0">
                        <a:latin typeface="Cambria Math" panose="02040503050406030204" pitchFamily="18" charset="0"/>
                      </a:rPr>
                      <m:t>=6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2F503786-2A84-3AF3-E7B5-44A2F09B32A8}"/>
                </a:ext>
              </a:extLst>
            </xdr:cNvPr>
            <xdr:cNvSpPr txBox="1"/>
          </xdr:nvSpPr>
          <xdr:spPr>
            <a:xfrm>
              <a:off x="12096750" y="8472487"/>
              <a:ext cx="608436" cy="518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800" i="0">
                  <a:latin typeface="Cambria Math" panose="02040503050406030204" pitchFamily="18" charset="0"/>
                </a:rPr>
                <a:t>6/1=6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13</xdr:col>
      <xdr:colOff>342900</xdr:colOff>
      <xdr:row>44</xdr:row>
      <xdr:rowOff>104775</xdr:rowOff>
    </xdr:from>
    <xdr:ext cx="608436" cy="518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6EDA062-8A58-435E-BAE8-FEF92407015C}"/>
                </a:ext>
              </a:extLst>
            </xdr:cNvPr>
            <xdr:cNvSpPr txBox="1"/>
          </xdr:nvSpPr>
          <xdr:spPr>
            <a:xfrm>
              <a:off x="12077700" y="9639300"/>
              <a:ext cx="608436" cy="518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419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800" b="0" i="1">
                            <a:latin typeface="Cambria Math" panose="02040503050406030204" pitchFamily="18" charset="0"/>
                          </a:rPr>
                          <m:t>8</m:t>
                        </m:r>
                      </m:num>
                      <m:den>
                        <m:r>
                          <a:rPr lang="es-MX" sz="1800" b="0" i="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s-419" sz="18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800" b="0" i="0">
                        <a:latin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6EDA062-8A58-435E-BAE8-FEF92407015C}"/>
                </a:ext>
              </a:extLst>
            </xdr:cNvPr>
            <xdr:cNvSpPr txBox="1"/>
          </xdr:nvSpPr>
          <xdr:spPr>
            <a:xfrm>
              <a:off x="12077700" y="9639300"/>
              <a:ext cx="608436" cy="518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8</a:t>
              </a:r>
              <a:r>
                <a:rPr lang="es-419" sz="1800" b="0" i="0">
                  <a:latin typeface="Cambria Math" panose="02040503050406030204" pitchFamily="18" charset="0"/>
                </a:rPr>
                <a:t>/</a:t>
              </a:r>
              <a:r>
                <a:rPr lang="es-MX" sz="1800" b="0" i="0">
                  <a:latin typeface="Cambria Math" panose="02040503050406030204" pitchFamily="18" charset="0"/>
                </a:rPr>
                <a:t>2</a:t>
              </a:r>
              <a:r>
                <a:rPr lang="es-419" sz="1800" i="0">
                  <a:latin typeface="Cambria Math" panose="02040503050406030204" pitchFamily="18" charset="0"/>
                </a:rPr>
                <a:t>=</a:t>
              </a:r>
              <a:r>
                <a:rPr lang="es-MX" sz="1800" b="0" i="0">
                  <a:latin typeface="Cambria Math" panose="02040503050406030204" pitchFamily="18" charset="0"/>
                </a:rPr>
                <a:t>4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11</xdr:col>
      <xdr:colOff>638175</xdr:colOff>
      <xdr:row>56</xdr:row>
      <xdr:rowOff>19050</xdr:rowOff>
    </xdr:from>
    <xdr:ext cx="2502993" cy="2405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8357309-C8EB-4529-B959-7C88D65454E0}"/>
                </a:ext>
              </a:extLst>
            </xdr:cNvPr>
            <xdr:cNvSpPr txBox="1"/>
          </xdr:nvSpPr>
          <xdr:spPr>
            <a:xfrm>
              <a:off x="10848975" y="12773025"/>
              <a:ext cx="2502993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6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El</m:t>
                        </m:r>
                        <m:r>
                          <a:rPr lang="es-MX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419" sz="16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b>
                        <m:r>
                          <a:rPr lang="es-419" sz="16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m:rPr>
                        <m:sty m:val="p"/>
                      </m:rPr>
                      <a:rPr lang="es-MX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Es</m:t>
                    </m:r>
                    <m:r>
                      <a:rPr lang="es-MX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sty m:val="p"/>
                      </m:rPr>
                      <a:rPr lang="es-MX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el</m:t>
                    </m:r>
                    <m:r>
                      <a:rPr lang="es-MX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sty m:val="p"/>
                      </m:rPr>
                      <a:rPr lang="es-MX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reactivo</m:t>
                    </m:r>
                    <m:r>
                      <a:rPr lang="es-MX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sty m:val="p"/>
                      </m:rPr>
                      <a:rPr lang="es-MX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limitante</m:t>
                    </m:r>
                  </m:oMath>
                </m:oMathPara>
              </a14:m>
              <a:endParaRPr lang="es-419" sz="16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8357309-C8EB-4529-B959-7C88D65454E0}"/>
                </a:ext>
              </a:extLst>
            </xdr:cNvPr>
            <xdr:cNvSpPr txBox="1"/>
          </xdr:nvSpPr>
          <xdr:spPr>
            <a:xfrm>
              <a:off x="10848975" y="12773025"/>
              <a:ext cx="2502993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419" sz="16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MX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El </a:t>
              </a:r>
              <a:r>
                <a:rPr lang="es-419" sz="16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𝐻〗_2</a:t>
              </a:r>
              <a:r>
                <a:rPr lang="es-MX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Es el reactivo limitante</a:t>
              </a:r>
              <a:endParaRPr lang="es-419" sz="16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657225</xdr:colOff>
      <xdr:row>62</xdr:row>
      <xdr:rowOff>161925</xdr:rowOff>
    </xdr:from>
    <xdr:ext cx="100965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FBC7C353-3EF9-4408-A86E-04AD825F0E86}"/>
                </a:ext>
              </a:extLst>
            </xdr:cNvPr>
            <xdr:cNvSpPr txBox="1"/>
          </xdr:nvSpPr>
          <xdr:spPr>
            <a:xfrm>
              <a:off x="10868025" y="14258925"/>
              <a:ext cx="10096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800" b="0" i="1">
                            <a:latin typeface="Cambria Math" panose="02040503050406030204" pitchFamily="18" charset="0"/>
                          </a:rPr>
                          <m:t>CH</m:t>
                        </m:r>
                      </m:e>
                      <m:sub>
                        <m:r>
                          <a:rPr lang="es-MX" sz="18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OH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FBC7C353-3EF9-4408-A86E-04AD825F0E86}"/>
                </a:ext>
              </a:extLst>
            </xdr:cNvPr>
            <xdr:cNvSpPr txBox="1"/>
          </xdr:nvSpPr>
          <xdr:spPr>
            <a:xfrm>
              <a:off x="10868025" y="14258925"/>
              <a:ext cx="10096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CH_3 OH 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11</xdr:col>
      <xdr:colOff>1019174</xdr:colOff>
      <xdr:row>65</xdr:row>
      <xdr:rowOff>9525</xdr:rowOff>
    </xdr:from>
    <xdr:ext cx="2886076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8FF9EBE-3F6E-4233-8A61-976AAFD6D64E}"/>
                </a:ext>
              </a:extLst>
            </xdr:cNvPr>
            <xdr:cNvSpPr txBox="1"/>
          </xdr:nvSpPr>
          <xdr:spPr>
            <a:xfrm>
              <a:off x="11229974" y="14725650"/>
              <a:ext cx="2886076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800"/>
                <a:t>4*1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800" b="0" i="1">
                          <a:latin typeface="Cambria Math" panose="02040503050406030204" pitchFamily="18" charset="0"/>
                        </a:rPr>
                        <m:t>  =4 </m:t>
                      </m:r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moles</m:t>
                      </m:r>
                      <m:r>
                        <a:rPr lang="es-MX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de</m:t>
                      </m:r>
                      <m:r>
                        <a:rPr lang="es-MX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CH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OH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s-419" sz="18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8FF9EBE-3F6E-4233-8A61-976AAFD6D64E}"/>
                </a:ext>
              </a:extLst>
            </xdr:cNvPr>
            <xdr:cNvSpPr txBox="1"/>
          </xdr:nvSpPr>
          <xdr:spPr>
            <a:xfrm>
              <a:off x="11229974" y="14725650"/>
              <a:ext cx="2886076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800"/>
                <a:t>4*1</a:t>
              </a:r>
              <a:r>
                <a:rPr lang="es-MX" sz="1800" i="0">
                  <a:latin typeface="Cambria Math" panose="02040503050406030204" pitchFamily="18" charset="0"/>
                </a:rPr>
                <a:t>〖</a:t>
              </a:r>
              <a:r>
                <a:rPr lang="es-MX" sz="1800" b="0" i="0">
                  <a:latin typeface="Cambria Math" panose="02040503050406030204" pitchFamily="18" charset="0"/>
                </a:rPr>
                <a:t>  =4 moles de CH〗_3 OH 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11</xdr:col>
      <xdr:colOff>114300</xdr:colOff>
      <xdr:row>69</xdr:row>
      <xdr:rowOff>23811</xdr:rowOff>
    </xdr:from>
    <xdr:ext cx="15811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25FA274-6E6D-658F-C4A0-F0B41EFA3691}"/>
                </a:ext>
              </a:extLst>
            </xdr:cNvPr>
            <xdr:cNvSpPr txBox="1"/>
          </xdr:nvSpPr>
          <xdr:spPr>
            <a:xfrm>
              <a:off x="10325100" y="15654336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400" b="0" i="1">
                        <a:latin typeface="Cambria Math" panose="02040503050406030204" pitchFamily="18" charset="0"/>
                      </a:rPr>
                      <m:t>4</m:t>
                    </m:r>
                    <m:r>
                      <a:rPr lang="es-419" sz="1400" b="0" i="0">
                        <a:latin typeface="Cambria Math" panose="02040503050406030204" pitchFamily="18" charset="0"/>
                      </a:rPr>
                      <m:t>×1=4</m:t>
                    </m:r>
                    <m:r>
                      <a:rPr lang="es-MX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𝑚𝑜𝑙</m:t>
                    </m:r>
                  </m:oMath>
                </m:oMathPara>
              </a14:m>
              <a:endParaRPr lang="es-419" sz="1400" b="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25FA274-6E6D-658F-C4A0-F0B41EFA3691}"/>
                </a:ext>
              </a:extLst>
            </xdr:cNvPr>
            <xdr:cNvSpPr txBox="1"/>
          </xdr:nvSpPr>
          <xdr:spPr>
            <a:xfrm>
              <a:off x="10325100" y="15654336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400" b="0" i="0">
                  <a:latin typeface="Cambria Math" panose="02040503050406030204" pitchFamily="18" charset="0"/>
                </a:rPr>
                <a:t>4×1=4</a:t>
              </a:r>
              <a:r>
                <a:rPr lang="es-MX" sz="1400" b="0" i="0">
                  <a:latin typeface="Cambria Math" panose="02040503050406030204" pitchFamily="18" charset="0"/>
                </a:rPr>
                <a:t> </a:t>
              </a:r>
              <a:r>
                <a:rPr lang="es-419" sz="1400" b="0" i="0">
                  <a:latin typeface="Cambria Math" panose="02040503050406030204" pitchFamily="18" charset="0"/>
                </a:rPr>
                <a:t>𝑚𝑜𝑙</a:t>
              </a:r>
              <a:endParaRPr lang="es-419" sz="1400" b="0"/>
            </a:p>
          </xdr:txBody>
        </xdr:sp>
      </mc:Fallback>
    </mc:AlternateContent>
    <xdr:clientData/>
  </xdr:oneCellAnchor>
  <xdr:oneCellAnchor>
    <xdr:from>
      <xdr:col>11</xdr:col>
      <xdr:colOff>66675</xdr:colOff>
      <xdr:row>70</xdr:row>
      <xdr:rowOff>28575</xdr:rowOff>
    </xdr:from>
    <xdr:ext cx="15811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04708F-BCE2-4A7C-863B-5630A93C3895}"/>
                </a:ext>
              </a:extLst>
            </xdr:cNvPr>
            <xdr:cNvSpPr txBox="1"/>
          </xdr:nvSpPr>
          <xdr:spPr>
            <a:xfrm>
              <a:off x="10277475" y="15897225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400" b="0" i="1">
                        <a:latin typeface="Cambria Math" panose="02040503050406030204" pitchFamily="18" charset="0"/>
                      </a:rPr>
                      <m:t>4</m:t>
                    </m:r>
                    <m:r>
                      <a:rPr lang="es-419" sz="1400" b="0" i="0">
                        <a:latin typeface="Cambria Math" panose="02040503050406030204" pitchFamily="18" charset="0"/>
                      </a:rPr>
                      <m:t>×</m:t>
                    </m:r>
                    <m:r>
                      <a:rPr lang="es-MX" sz="1400" b="0" i="0">
                        <a:latin typeface="Cambria Math" panose="02040503050406030204" pitchFamily="18" charset="0"/>
                      </a:rPr>
                      <m:t>2</m:t>
                    </m:r>
                    <m:r>
                      <a:rPr lang="es-419" sz="14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400" b="0" i="1">
                        <a:latin typeface="Cambria Math" panose="02040503050406030204" pitchFamily="18" charset="0"/>
                      </a:rPr>
                      <m:t>8 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𝑚𝑜𝑙</m:t>
                    </m:r>
                  </m:oMath>
                </m:oMathPara>
              </a14:m>
              <a:endParaRPr lang="es-419" sz="1400" b="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04708F-BCE2-4A7C-863B-5630A93C3895}"/>
                </a:ext>
              </a:extLst>
            </xdr:cNvPr>
            <xdr:cNvSpPr txBox="1"/>
          </xdr:nvSpPr>
          <xdr:spPr>
            <a:xfrm>
              <a:off x="10277475" y="15897225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400" b="0" i="0">
                  <a:latin typeface="Cambria Math" panose="02040503050406030204" pitchFamily="18" charset="0"/>
                </a:rPr>
                <a:t>4×</a:t>
              </a:r>
              <a:r>
                <a:rPr lang="es-MX" sz="1400" b="0" i="0">
                  <a:latin typeface="Cambria Math" panose="02040503050406030204" pitchFamily="18" charset="0"/>
                </a:rPr>
                <a:t>2</a:t>
              </a:r>
              <a:r>
                <a:rPr lang="es-419" sz="1400" b="0" i="0">
                  <a:latin typeface="Cambria Math" panose="02040503050406030204" pitchFamily="18" charset="0"/>
                </a:rPr>
                <a:t>=</a:t>
              </a:r>
              <a:r>
                <a:rPr lang="es-MX" sz="1400" b="0" i="0">
                  <a:latin typeface="Cambria Math" panose="02040503050406030204" pitchFamily="18" charset="0"/>
                </a:rPr>
                <a:t>8 </a:t>
              </a:r>
              <a:r>
                <a:rPr lang="es-419" sz="1400" b="0" i="0">
                  <a:latin typeface="Cambria Math" panose="02040503050406030204" pitchFamily="18" charset="0"/>
                </a:rPr>
                <a:t>𝑚𝑜𝑙</a:t>
              </a:r>
              <a:endParaRPr lang="es-419" sz="1400" b="0"/>
            </a:p>
          </xdr:txBody>
        </xdr:sp>
      </mc:Fallback>
    </mc:AlternateContent>
    <xdr:clientData/>
  </xdr:oneCellAnchor>
  <xdr:oneCellAnchor>
    <xdr:from>
      <xdr:col>11</xdr:col>
      <xdr:colOff>0</xdr:colOff>
      <xdr:row>75</xdr:row>
      <xdr:rowOff>0</xdr:rowOff>
    </xdr:from>
    <xdr:ext cx="15811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5199C8A-108E-4F40-8B6B-5757A4C9FFEC}"/>
                </a:ext>
              </a:extLst>
            </xdr:cNvPr>
            <xdr:cNvSpPr txBox="1"/>
          </xdr:nvSpPr>
          <xdr:spPr>
            <a:xfrm>
              <a:off x="10210800" y="16973550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400" b="0" i="1">
                        <a:latin typeface="Cambria Math" panose="02040503050406030204" pitchFamily="18" charset="0"/>
                      </a:rPr>
                      <m:t>6</m:t>
                    </m:r>
                    <m:r>
                      <a:rPr lang="es-MX" sz="1400" b="0" i="0">
                        <a:latin typeface="Cambria Math" panose="02040503050406030204" pitchFamily="18" charset="0"/>
                      </a:rPr>
                      <m:t> −4</m:t>
                    </m:r>
                    <m:r>
                      <a:rPr lang="es-419" sz="14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400" b="0" i="1">
                        <a:latin typeface="Cambria Math" panose="02040503050406030204" pitchFamily="18" charset="0"/>
                      </a:rPr>
                      <m:t>2 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𝑚𝑜𝑙</m:t>
                    </m:r>
                  </m:oMath>
                </m:oMathPara>
              </a14:m>
              <a:endParaRPr lang="es-419" sz="1400" b="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5199C8A-108E-4F40-8B6B-5757A4C9FFEC}"/>
                </a:ext>
              </a:extLst>
            </xdr:cNvPr>
            <xdr:cNvSpPr txBox="1"/>
          </xdr:nvSpPr>
          <xdr:spPr>
            <a:xfrm>
              <a:off x="10210800" y="16973550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400" b="0" i="0">
                  <a:latin typeface="Cambria Math" panose="02040503050406030204" pitchFamily="18" charset="0"/>
                </a:rPr>
                <a:t>6</a:t>
              </a:r>
              <a:r>
                <a:rPr lang="es-MX" sz="1400" b="0" i="0">
                  <a:latin typeface="Cambria Math" panose="02040503050406030204" pitchFamily="18" charset="0"/>
                </a:rPr>
                <a:t> -4</a:t>
              </a:r>
              <a:r>
                <a:rPr lang="es-419" sz="1400" b="0" i="0">
                  <a:latin typeface="Cambria Math" panose="02040503050406030204" pitchFamily="18" charset="0"/>
                </a:rPr>
                <a:t>=</a:t>
              </a:r>
              <a:r>
                <a:rPr lang="es-MX" sz="1400" b="0" i="0">
                  <a:latin typeface="Cambria Math" panose="02040503050406030204" pitchFamily="18" charset="0"/>
                </a:rPr>
                <a:t>2 </a:t>
              </a:r>
              <a:r>
                <a:rPr lang="es-419" sz="1400" b="0" i="0">
                  <a:latin typeface="Cambria Math" panose="02040503050406030204" pitchFamily="18" charset="0"/>
                </a:rPr>
                <a:t>𝑚𝑜𝑙</a:t>
              </a:r>
              <a:endParaRPr lang="es-419" sz="1400" b="0"/>
            </a:p>
          </xdr:txBody>
        </xdr:sp>
      </mc:Fallback>
    </mc:AlternateContent>
    <xdr:clientData/>
  </xdr:oneCellAnchor>
  <xdr:oneCellAnchor>
    <xdr:from>
      <xdr:col>11</xdr:col>
      <xdr:colOff>0</xdr:colOff>
      <xdr:row>76</xdr:row>
      <xdr:rowOff>0</xdr:rowOff>
    </xdr:from>
    <xdr:ext cx="15811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7CBBFCC-4298-415E-AFF3-D42C13F2A719}"/>
                </a:ext>
              </a:extLst>
            </xdr:cNvPr>
            <xdr:cNvSpPr txBox="1"/>
          </xdr:nvSpPr>
          <xdr:spPr>
            <a:xfrm>
              <a:off x="10210800" y="17211675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400" b="0" i="1">
                        <a:latin typeface="Cambria Math" panose="02040503050406030204" pitchFamily="18" charset="0"/>
                      </a:rPr>
                      <m:t>8</m:t>
                    </m:r>
                    <m:r>
                      <a:rPr lang="es-MX" sz="1400" b="0" i="0">
                        <a:latin typeface="Cambria Math" panose="02040503050406030204" pitchFamily="18" charset="0"/>
                      </a:rPr>
                      <m:t> −8</m:t>
                    </m:r>
                    <m:r>
                      <a:rPr lang="es-419" sz="14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400" b="0" i="1">
                        <a:latin typeface="Cambria Math" panose="02040503050406030204" pitchFamily="18" charset="0"/>
                      </a:rPr>
                      <m:t>0 </m:t>
                    </m:r>
                    <m:r>
                      <a:rPr lang="es-419" sz="1400" b="0" i="1">
                        <a:latin typeface="Cambria Math" panose="02040503050406030204" pitchFamily="18" charset="0"/>
                      </a:rPr>
                      <m:t>𝑚𝑜𝑙</m:t>
                    </m:r>
                  </m:oMath>
                </m:oMathPara>
              </a14:m>
              <a:endParaRPr lang="es-419" sz="1400" b="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7CBBFCC-4298-415E-AFF3-D42C13F2A719}"/>
                </a:ext>
              </a:extLst>
            </xdr:cNvPr>
            <xdr:cNvSpPr txBox="1"/>
          </xdr:nvSpPr>
          <xdr:spPr>
            <a:xfrm>
              <a:off x="10210800" y="17211675"/>
              <a:ext cx="15811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400" b="0" i="0">
                  <a:latin typeface="Cambria Math" panose="02040503050406030204" pitchFamily="18" charset="0"/>
                </a:rPr>
                <a:t>8</a:t>
              </a:r>
              <a:r>
                <a:rPr lang="es-MX" sz="1400" b="0" i="0">
                  <a:latin typeface="Cambria Math" panose="02040503050406030204" pitchFamily="18" charset="0"/>
                </a:rPr>
                <a:t> -8</a:t>
              </a:r>
              <a:r>
                <a:rPr lang="es-419" sz="1400" b="0" i="0">
                  <a:latin typeface="Cambria Math" panose="02040503050406030204" pitchFamily="18" charset="0"/>
                </a:rPr>
                <a:t>=</a:t>
              </a:r>
              <a:r>
                <a:rPr lang="es-MX" sz="1400" b="0" i="0">
                  <a:latin typeface="Cambria Math" panose="02040503050406030204" pitchFamily="18" charset="0"/>
                </a:rPr>
                <a:t>0 </a:t>
              </a:r>
              <a:r>
                <a:rPr lang="es-419" sz="1400" b="0" i="0">
                  <a:latin typeface="Cambria Math" panose="02040503050406030204" pitchFamily="18" charset="0"/>
                </a:rPr>
                <a:t>𝑚𝑜𝑙</a:t>
              </a:r>
              <a:endParaRPr lang="es-419" sz="1400" b="0"/>
            </a:p>
          </xdr:txBody>
        </xdr:sp>
      </mc:Fallback>
    </mc:AlternateContent>
    <xdr:clientData/>
  </xdr:oneCellAnchor>
  <xdr:oneCellAnchor>
    <xdr:from>
      <xdr:col>1</xdr:col>
      <xdr:colOff>0</xdr:colOff>
      <xdr:row>111</xdr:row>
      <xdr:rowOff>0</xdr:rowOff>
    </xdr:from>
    <xdr:ext cx="447675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5775ED8B-73EF-4D3E-A694-8EACBA4EBEBE}"/>
                </a:ext>
              </a:extLst>
            </xdr:cNvPr>
            <xdr:cNvSpPr txBox="1"/>
          </xdr:nvSpPr>
          <xdr:spPr>
            <a:xfrm>
              <a:off x="762000" y="24288750"/>
              <a:ext cx="44767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CH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OH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(</m:t>
                  </m:r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l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) +3</m:t>
                  </m:r>
                  <m:sSub>
                    <m:sSubPr>
                      <m:ctrlP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O</m:t>
                      </m:r>
                    </m:e>
                    <m:sub>
                      <m: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s-MX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m:rPr>
                      <m:sty m:val="p"/>
                    </m:rPr>
                    <a:rPr lang="es-MX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g</m:t>
                  </m:r>
                  <m:r>
                    <a:rPr lang="es-MX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  <m:r>
                    <a:rPr lang="es-419" sz="18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→</m:t>
                  </m:r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2</m:t>
                  </m:r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C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s-419" sz="18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O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2  </m:t>
                      </m:r>
                    </m:sub>
                  </m:sSub>
                  <m:r>
                    <a:rPr lang="es-MX" sz="1800" b="0" i="1">
                      <a:latin typeface="Cambria Math" panose="02040503050406030204" pitchFamily="18" charset="0"/>
                    </a:rPr>
                    <m:t>(</m:t>
                  </m:r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g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)+</m:t>
                  </m:r>
                </m:oMath>
              </a14:m>
              <a:r>
                <a:rPr lang="es-419" sz="1800"/>
                <a:t>4</a:t>
              </a:r>
              <a14:m>
                <m:oMath xmlns:m="http://schemas.openxmlformats.org/officeDocument/2006/math">
                  <m:sSub>
                    <m:sSubPr>
                      <m:ctrlPr>
                        <a:rPr lang="es-419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419" sz="18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s-419" sz="1800" i="0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m:rPr>
                      <m:sty m:val="p"/>
                    </m:rPr>
                    <a:rPr lang="es-MX" sz="1800" b="0" i="0">
                      <a:latin typeface="Cambria Math" panose="02040503050406030204" pitchFamily="18" charset="0"/>
                    </a:rPr>
                    <m:t>O</m:t>
                  </m:r>
                </m:oMath>
              </a14:m>
              <a:r>
                <a:rPr lang="es-419" sz="1800"/>
                <a:t> (l)</a:t>
              </a:r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5775ED8B-73EF-4D3E-A694-8EACBA4EBEBE}"/>
                </a:ext>
              </a:extLst>
            </xdr:cNvPr>
            <xdr:cNvSpPr txBox="1"/>
          </xdr:nvSpPr>
          <xdr:spPr>
            <a:xfrm>
              <a:off x="762000" y="24288750"/>
              <a:ext cx="44767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:r>
                <a:rPr lang="es-MX" sz="1800" b="0" i="0">
                  <a:latin typeface="Cambria Math" panose="02040503050406030204" pitchFamily="18" charset="0"/>
                </a:rPr>
                <a:t>CH_3 OH (l) +3</a:t>
              </a:r>
              <a:r>
                <a:rPr lang="es-419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O_2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(g)</a:t>
              </a:r>
              <a:r>
                <a:rPr lang="es-419" sz="1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→" 2C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s-MX" sz="1800" b="0" i="0">
                  <a:latin typeface="Cambria Math" panose="02040503050406030204" pitchFamily="18" charset="0"/>
                </a:rPr>
                <a:t> O</a:t>
              </a:r>
              <a:r>
                <a:rPr lang="es-419" sz="1800" b="0" i="0">
                  <a:latin typeface="Cambria Math" panose="02040503050406030204" pitchFamily="18" charset="0"/>
                </a:rPr>
                <a:t>_(</a:t>
              </a:r>
              <a:r>
                <a:rPr lang="es-MX" sz="1800" b="0" i="0">
                  <a:latin typeface="Cambria Math" panose="02040503050406030204" pitchFamily="18" charset="0"/>
                </a:rPr>
                <a:t>2  </a:t>
              </a:r>
              <a:r>
                <a:rPr lang="es-419" sz="1800" b="0" i="0">
                  <a:latin typeface="Cambria Math" panose="02040503050406030204" pitchFamily="18" charset="0"/>
                </a:rPr>
                <a:t>)</a:t>
              </a:r>
              <a:r>
                <a:rPr lang="es-MX" sz="1800" b="0" i="0">
                  <a:latin typeface="Cambria Math" panose="02040503050406030204" pitchFamily="18" charset="0"/>
                </a:rPr>
                <a:t> (g)+</a:t>
              </a:r>
              <a:r>
                <a:rPr lang="es-419" sz="1800"/>
                <a:t>4</a:t>
              </a:r>
              <a:r>
                <a:rPr lang="es-419" sz="1800" i="0">
                  <a:latin typeface="Cambria Math" panose="02040503050406030204" pitchFamily="18" charset="0"/>
                </a:rPr>
                <a:t>𝐻_2</a:t>
              </a:r>
              <a:r>
                <a:rPr lang="es-MX" sz="1800" b="0" i="0">
                  <a:latin typeface="Cambria Math" panose="02040503050406030204" pitchFamily="18" charset="0"/>
                </a:rPr>
                <a:t> O</a:t>
              </a:r>
              <a:r>
                <a:rPr lang="es-419" sz="1800"/>
                <a:t> (l)</a:t>
              </a:r>
            </a:p>
          </xdr:txBody>
        </xdr:sp>
      </mc:Fallback>
    </mc:AlternateContent>
    <xdr:clientData/>
  </xdr:oneCellAnchor>
  <xdr:oneCellAnchor>
    <xdr:from>
      <xdr:col>0</xdr:col>
      <xdr:colOff>761999</xdr:colOff>
      <xdr:row>119</xdr:row>
      <xdr:rowOff>0</xdr:rowOff>
    </xdr:from>
    <xdr:ext cx="4314825" cy="5636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FD3AB95-7C69-4B34-8BF6-7A0DF9072514}"/>
                </a:ext>
              </a:extLst>
            </xdr:cNvPr>
            <xdr:cNvSpPr txBox="1"/>
          </xdr:nvSpPr>
          <xdr:spPr>
            <a:xfrm>
              <a:off x="761999" y="26203275"/>
              <a:ext cx="4314825" cy="563616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800"/>
                <a:t>para el</a:t>
              </a:r>
              <a:r>
                <a:rPr lang="es-MX" sz="1800" baseline="0"/>
                <a:t> Metanol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CH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OH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s-419" sz="1800"/>
                <a:t>  -726kJ/mol</a:t>
              </a:r>
            </a:p>
            <a:p>
              <a:r>
                <a:rPr lang="es-419" sz="1800"/>
                <a:t>como tenemos 4 moles  E= 4*-726= -2904KJ</a:t>
              </a: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FD3AB95-7C69-4B34-8BF6-7A0DF9072514}"/>
                </a:ext>
              </a:extLst>
            </xdr:cNvPr>
            <xdr:cNvSpPr txBox="1"/>
          </xdr:nvSpPr>
          <xdr:spPr>
            <a:xfrm>
              <a:off x="761999" y="26203275"/>
              <a:ext cx="4314825" cy="563616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800"/>
                <a:t>para el</a:t>
              </a:r>
              <a:r>
                <a:rPr lang="es-MX" sz="1800" baseline="0"/>
                <a:t> Metanol </a:t>
              </a:r>
              <a:r>
                <a:rPr lang="es-MX" sz="1800" b="0" i="0">
                  <a:latin typeface="Cambria Math" panose="02040503050406030204" pitchFamily="18" charset="0"/>
                </a:rPr>
                <a:t>CH_3 OH </a:t>
              </a:r>
              <a:r>
                <a:rPr lang="es-419" sz="1800"/>
                <a:t>  -726kJ/mol</a:t>
              </a:r>
            </a:p>
            <a:p>
              <a:r>
                <a:rPr lang="es-419" sz="1800"/>
                <a:t>como tenemos 4 moles  E= 4*-726= -2904KJ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128</xdr:row>
      <xdr:rowOff>0</xdr:rowOff>
    </xdr:from>
    <xdr:ext cx="3680879" cy="3000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6E9FA222-7C59-462E-8837-91448574AC4A}"/>
                </a:ext>
              </a:extLst>
            </xdr:cNvPr>
            <xdr:cNvSpPr txBox="1"/>
          </xdr:nvSpPr>
          <xdr:spPr>
            <a:xfrm>
              <a:off x="762000" y="27879675"/>
              <a:ext cx="3680879" cy="3000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1600">
                      <a:latin typeface="Cambria Math" panose="02040503050406030204" pitchFamily="18" charset="0"/>
                    </a:rPr>
                    <m:t>Δ</m:t>
                  </m:r>
                  <m:sSup>
                    <m:sSupPr>
                      <m:ctrlPr>
                        <a:rPr lang="es-AR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16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p>
                      <m:r>
                        <a:rPr lang="es-AR" sz="1600" i="0">
                          <a:latin typeface="Cambria Math" panose="02040503050406030204" pitchFamily="18" charset="0"/>
                        </a:rPr>
                        <m:t>0</m:t>
                      </m:r>
                    </m:sup>
                  </m:sSup>
                  <m:r>
                    <a:rPr lang="es-AR" sz="1600" i="0">
                      <a:latin typeface="Cambria Math" panose="02040503050406030204" pitchFamily="18" charset="0"/>
                    </a:rPr>
                    <m:t>=</m:t>
                  </m:r>
                  <m:r>
                    <a:rPr lang="es-AR" sz="1600" i="1">
                      <a:latin typeface="Cambria Math" panose="02040503050406030204" pitchFamily="18" charset="0"/>
                    </a:rPr>
                    <m:t>𝛴</m:t>
                  </m:r>
                  <m:r>
                    <m:rPr>
                      <m:sty m:val="p"/>
                    </m:rPr>
                    <a:rPr lang="es-AR" sz="16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Δ</m:t>
                  </m:r>
                  <m:sSubSup>
                    <m:sSubSupPr>
                      <m:ctrlP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</m:sub>
                    <m:sup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p>
                  </m:sSubSup>
                </m:oMath>
              </a14:m>
              <a:r>
                <a:rPr lang="es-AR" sz="1600"/>
                <a:t>(productos) - </a:t>
              </a:r>
              <a14:m>
                <m:oMath xmlns:m="http://schemas.openxmlformats.org/officeDocument/2006/math">
                  <m:r>
                    <a:rPr lang="es-AR" sz="16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𝛴</m:t>
                  </m:r>
                  <m:r>
                    <m:rPr>
                      <m:sty m:val="p"/>
                    </m:rPr>
                    <a:rPr lang="es-AR" sz="16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Δ</m:t>
                  </m:r>
                  <m:sSubSup>
                    <m:sSubSupPr>
                      <m:ctrlP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</m:sub>
                    <m:sup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p>
                  </m:sSubSup>
                </m:oMath>
              </a14:m>
              <a:r>
                <a:rPr lang="es-A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(reactivos)</a:t>
              </a:r>
              <a:r>
                <a:rPr lang="es-AR" sz="1600"/>
                <a:t> </a:t>
              </a:r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6E9FA222-7C59-462E-8837-91448574AC4A}"/>
                </a:ext>
              </a:extLst>
            </xdr:cNvPr>
            <xdr:cNvSpPr txBox="1"/>
          </xdr:nvSpPr>
          <xdr:spPr>
            <a:xfrm>
              <a:off x="762000" y="27879675"/>
              <a:ext cx="3680879" cy="3000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600" i="0">
                  <a:latin typeface="Cambria Math" panose="02040503050406030204" pitchFamily="18" charset="0"/>
                </a:rPr>
                <a:t>Δ𝐻^0=𝛴</a:t>
              </a:r>
              <a:r>
                <a:rPr lang="es-AR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Δ𝐻_𝑓^0</a:t>
              </a:r>
              <a:r>
                <a:rPr lang="es-AR" sz="1600"/>
                <a:t>(productos) - </a:t>
              </a:r>
              <a:r>
                <a:rPr lang="es-AR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𝛴Δ𝐻_𝑓^0</a:t>
              </a:r>
              <a:r>
                <a:rPr lang="es-A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(reactivos)</a:t>
              </a:r>
              <a:r>
                <a:rPr lang="es-AR" sz="1600"/>
                <a:t> </a:t>
              </a:r>
            </a:p>
          </xdr:txBody>
        </xdr:sp>
      </mc:Fallback>
    </mc:AlternateContent>
    <xdr:clientData/>
  </xdr:oneCellAnchor>
  <xdr:oneCellAnchor>
    <xdr:from>
      <xdr:col>2</xdr:col>
      <xdr:colOff>0</xdr:colOff>
      <xdr:row>140</xdr:row>
      <xdr:rowOff>180975</xdr:rowOff>
    </xdr:from>
    <xdr:ext cx="350520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D66AEE21-6754-42A8-B705-C01E6D63607E}"/>
                </a:ext>
              </a:extLst>
            </xdr:cNvPr>
            <xdr:cNvSpPr txBox="1"/>
          </xdr:nvSpPr>
          <xdr:spPr>
            <a:xfrm>
              <a:off x="1524000" y="30737175"/>
              <a:ext cx="35052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CH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OH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+3</m:t>
                  </m:r>
                  <m:sSub>
                    <m:sSubPr>
                      <m:ctrlP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O</m:t>
                      </m:r>
                    </m:e>
                    <m:sub>
                      <m: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s-419" sz="18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→</m:t>
                  </m:r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2</m:t>
                  </m:r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C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s-419" sz="18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O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2  </m:t>
                      </m:r>
                    </m:sub>
                  </m:sSub>
                  <m:r>
                    <a:rPr lang="es-MX" sz="1800" b="0" i="1">
                      <a:latin typeface="Cambria Math" panose="02040503050406030204" pitchFamily="18" charset="0"/>
                    </a:rPr>
                    <m:t>+</m:t>
                  </m:r>
                </m:oMath>
              </a14:m>
              <a:r>
                <a:rPr lang="es-419" sz="1800"/>
                <a:t>4</a:t>
              </a:r>
              <a14:m>
                <m:oMath xmlns:m="http://schemas.openxmlformats.org/officeDocument/2006/math">
                  <m:sSub>
                    <m:sSubPr>
                      <m:ctrlPr>
                        <a:rPr lang="es-419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419" sz="18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s-419" sz="1800" i="0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</m:oMath>
              </a14:m>
              <a:r>
                <a:rPr lang="es-419" sz="1800"/>
                <a:t>O</a:t>
              </a:r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D66AEE21-6754-42A8-B705-C01E6D63607E}"/>
                </a:ext>
              </a:extLst>
            </xdr:cNvPr>
            <xdr:cNvSpPr txBox="1"/>
          </xdr:nvSpPr>
          <xdr:spPr>
            <a:xfrm>
              <a:off x="1524000" y="30737175"/>
              <a:ext cx="35052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:r>
                <a:rPr lang="es-MX" sz="1800" b="0" i="0">
                  <a:latin typeface="Cambria Math" panose="02040503050406030204" pitchFamily="18" charset="0"/>
                </a:rPr>
                <a:t>CH_3 OH +3</a:t>
              </a:r>
              <a:r>
                <a:rPr lang="es-419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O_2</a:t>
              </a:r>
              <a:r>
                <a:rPr lang="es-419" sz="1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→" 2C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s-MX" sz="1800" b="0" i="0">
                  <a:latin typeface="Cambria Math" panose="02040503050406030204" pitchFamily="18" charset="0"/>
                </a:rPr>
                <a:t> O</a:t>
              </a:r>
              <a:r>
                <a:rPr lang="es-419" sz="1800" b="0" i="0">
                  <a:latin typeface="Cambria Math" panose="02040503050406030204" pitchFamily="18" charset="0"/>
                </a:rPr>
                <a:t>_(</a:t>
              </a:r>
              <a:r>
                <a:rPr lang="es-MX" sz="1800" b="0" i="0">
                  <a:latin typeface="Cambria Math" panose="02040503050406030204" pitchFamily="18" charset="0"/>
                </a:rPr>
                <a:t>2  </a:t>
              </a:r>
              <a:r>
                <a:rPr lang="es-419" sz="1800" b="0" i="0">
                  <a:latin typeface="Cambria Math" panose="02040503050406030204" pitchFamily="18" charset="0"/>
                </a:rPr>
                <a:t>)</a:t>
              </a:r>
              <a:r>
                <a:rPr lang="es-MX" sz="1800" b="0" i="0">
                  <a:latin typeface="Cambria Math" panose="02040503050406030204" pitchFamily="18" charset="0"/>
                </a:rPr>
                <a:t>+</a:t>
              </a:r>
              <a:r>
                <a:rPr lang="es-419" sz="1800"/>
                <a:t>4</a:t>
              </a:r>
              <a:r>
                <a:rPr lang="es-419" sz="1800" i="0">
                  <a:latin typeface="Cambria Math" panose="02040503050406030204" pitchFamily="18" charset="0"/>
                </a:rPr>
                <a:t>𝐻_2</a:t>
              </a:r>
              <a:r>
                <a:rPr lang="es-419" sz="1800"/>
                <a:t>O</a:t>
              </a:r>
            </a:p>
          </xdr:txBody>
        </xdr:sp>
      </mc:Fallback>
    </mc:AlternateContent>
    <xdr:clientData/>
  </xdr:oneCellAnchor>
  <xdr:oneCellAnchor>
    <xdr:from>
      <xdr:col>6</xdr:col>
      <xdr:colOff>0</xdr:colOff>
      <xdr:row>156</xdr:row>
      <xdr:rowOff>0</xdr:rowOff>
    </xdr:from>
    <xdr:ext cx="260985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C4BEB147-4C64-4D77-8998-30029A0BB3B3}"/>
                </a:ext>
              </a:extLst>
            </xdr:cNvPr>
            <xdr:cNvSpPr txBox="1"/>
          </xdr:nvSpPr>
          <xdr:spPr>
            <a:xfrm>
              <a:off x="4838700" y="34318575"/>
              <a:ext cx="2609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14:m>
                <m:oMath xmlns:m="http://schemas.openxmlformats.org/officeDocument/2006/math">
                  <m:r>
                    <a:rPr lang="es-AR" sz="1800" i="1">
                      <a:latin typeface="Cambria Math" panose="02040503050406030204" pitchFamily="18" charset="0"/>
                    </a:rPr>
                    <m:t>(</m:t>
                  </m:r>
                  <m:r>
                    <a:rPr lang="es-AR" sz="1800" b="0" i="1">
                      <a:latin typeface="Cambria Math" panose="02040503050406030204" pitchFamily="18" charset="0"/>
                    </a:rPr>
                    <m:t>−393,5)</m:t>
                  </m:r>
                </m:oMath>
              </a14:m>
              <a:endParaRPr lang="es-419" sz="18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C4BEB147-4C64-4D77-8998-30029A0BB3B3}"/>
                </a:ext>
              </a:extLst>
            </xdr:cNvPr>
            <xdr:cNvSpPr txBox="1"/>
          </xdr:nvSpPr>
          <xdr:spPr>
            <a:xfrm>
              <a:off x="4838700" y="34318575"/>
              <a:ext cx="2609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:r>
                <a:rPr lang="es-AR" sz="1800" i="0">
                  <a:latin typeface="Cambria Math" panose="02040503050406030204" pitchFamily="18" charset="0"/>
                </a:rPr>
                <a:t>(</a:t>
              </a:r>
              <a:r>
                <a:rPr lang="es-AR" sz="1800" b="0" i="0">
                  <a:latin typeface="Cambria Math" panose="02040503050406030204" pitchFamily="18" charset="0"/>
                </a:rPr>
                <a:t>−393,5)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5</xdr:col>
      <xdr:colOff>933450</xdr:colOff>
      <xdr:row>157</xdr:row>
      <xdr:rowOff>0</xdr:rowOff>
    </xdr:from>
    <xdr:ext cx="260985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C16870DD-497E-4DF7-A72F-9707C913F1C9}"/>
                </a:ext>
              </a:extLst>
            </xdr:cNvPr>
            <xdr:cNvSpPr txBox="1"/>
          </xdr:nvSpPr>
          <xdr:spPr>
            <a:xfrm>
              <a:off x="4819650" y="34585275"/>
              <a:ext cx="2609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AR" sz="1800" b="0" i="1">
                        <a:latin typeface="Cambria Math" panose="02040503050406030204" pitchFamily="18" charset="0"/>
                      </a:rPr>
                      <m:t>4(−285,8)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C16870DD-497E-4DF7-A72F-9707C913F1C9}"/>
                </a:ext>
              </a:extLst>
            </xdr:cNvPr>
            <xdr:cNvSpPr txBox="1"/>
          </xdr:nvSpPr>
          <xdr:spPr>
            <a:xfrm>
              <a:off x="4819650" y="34585275"/>
              <a:ext cx="2609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AR" sz="1800" b="0" i="0">
                  <a:latin typeface="Cambria Math" panose="02040503050406030204" pitchFamily="18" charset="0"/>
                </a:rPr>
                <a:t>4(−285,8)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6</xdr:col>
      <xdr:colOff>95250</xdr:colOff>
      <xdr:row>167</xdr:row>
      <xdr:rowOff>0</xdr:rowOff>
    </xdr:from>
    <xdr:ext cx="327660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E4BF68E7-26B1-40F6-AF29-2850B2E7990D}"/>
                </a:ext>
              </a:extLst>
            </xdr:cNvPr>
            <xdr:cNvSpPr txBox="1"/>
          </xdr:nvSpPr>
          <xdr:spPr>
            <a:xfrm>
              <a:off x="4933950" y="36976050"/>
              <a:ext cx="32766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14:m>
                <m:oMath xmlns:m="http://schemas.openxmlformats.org/officeDocument/2006/math">
                  <m:d>
                    <m:dPr>
                      <m:ctrlPr>
                        <a:rPr lang="es-AR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AR" sz="1800" b="0" i="1">
                          <a:latin typeface="Cambria Math" panose="02040503050406030204" pitchFamily="18" charset="0"/>
                        </a:rPr>
                        <m:t>−238,7</m:t>
                      </m:r>
                    </m:e>
                  </m:d>
                  <m:r>
                    <a:rPr lang="es-MX" sz="1800" b="0" i="1">
                      <a:latin typeface="Cambria Math" panose="02040503050406030204" pitchFamily="18" charset="0"/>
                    </a:rPr>
                    <m:t>+</m:t>
                  </m:r>
                  <m:r>
                    <a:rPr lang="es-AR" sz="1800" b="0" i="1">
                      <a:latin typeface="Cambria Math" panose="02040503050406030204" pitchFamily="18" charset="0"/>
                    </a:rPr>
                    <m:t>3</m:t>
                  </m:r>
                  <m:d>
                    <m:dPr>
                      <m:ctrlPr>
                        <a:rPr lang="es-AR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AR" sz="1800" b="0" i="1">
                          <a:latin typeface="Cambria Math" panose="02040503050406030204" pitchFamily="18" charset="0"/>
                        </a:rPr>
                        <m:t>0</m:t>
                      </m:r>
                    </m:e>
                  </m:d>
                  <m:r>
                    <a:rPr lang="es-AR" sz="1800" b="0" i="1">
                      <a:latin typeface="Cambria Math" panose="02040503050406030204" pitchFamily="18" charset="0"/>
                    </a:rPr>
                    <m:t>=−477</m:t>
                  </m:r>
                </m:oMath>
              </a14:m>
              <a:r>
                <a:rPr lang="es-419" sz="1800"/>
                <a:t>,4 KJ</a:t>
              </a:r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E4BF68E7-26B1-40F6-AF29-2850B2E7990D}"/>
                </a:ext>
              </a:extLst>
            </xdr:cNvPr>
            <xdr:cNvSpPr txBox="1"/>
          </xdr:nvSpPr>
          <xdr:spPr>
            <a:xfrm>
              <a:off x="4933950" y="36976050"/>
              <a:ext cx="32766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:r>
                <a:rPr lang="es-AR" sz="1800" b="0" i="0">
                  <a:latin typeface="Cambria Math" panose="02040503050406030204" pitchFamily="18" charset="0"/>
                </a:rPr>
                <a:t>(−238,7)</a:t>
              </a:r>
              <a:r>
                <a:rPr lang="es-MX" sz="1800" b="0" i="0">
                  <a:latin typeface="Cambria Math" panose="02040503050406030204" pitchFamily="18" charset="0"/>
                </a:rPr>
                <a:t>+</a:t>
              </a:r>
              <a:r>
                <a:rPr lang="es-AR" sz="1800" b="0" i="0">
                  <a:latin typeface="Cambria Math" panose="02040503050406030204" pitchFamily="18" charset="0"/>
                </a:rPr>
                <a:t>3(0)=−477</a:t>
              </a:r>
              <a:r>
                <a:rPr lang="es-419" sz="1800"/>
                <a:t>,4 KJ</a:t>
              </a:r>
            </a:p>
          </xdr:txBody>
        </xdr:sp>
      </mc:Fallback>
    </mc:AlternateContent>
    <xdr:clientData/>
  </xdr:oneCellAnchor>
  <xdr:oneCellAnchor>
    <xdr:from>
      <xdr:col>8</xdr:col>
      <xdr:colOff>9525</xdr:colOff>
      <xdr:row>168</xdr:row>
      <xdr:rowOff>9525</xdr:rowOff>
    </xdr:from>
    <xdr:ext cx="1171575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F1ED56A2-908D-4FBA-8957-78CBFA74CABC}"/>
                </a:ext>
              </a:extLst>
            </xdr:cNvPr>
            <xdr:cNvSpPr txBox="1"/>
          </xdr:nvSpPr>
          <xdr:spPr>
            <a:xfrm>
              <a:off x="7019925" y="37252275"/>
              <a:ext cx="1171575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800" b="0" i="1">
                        <a:latin typeface="Cambria Math" panose="02040503050406030204" pitchFamily="18" charset="0"/>
                      </a:rPr>
                      <m:t>3</m:t>
                    </m:r>
                    <m:d>
                      <m:dPr>
                        <m:ctrlPr>
                          <a:rPr lang="es-AR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8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d>
                    <m:r>
                      <a:rPr lang="es-AR" sz="1800" b="0" i="1">
                        <a:latin typeface="Cambria Math" panose="02040503050406030204" pitchFamily="18" charset="0"/>
                      </a:rPr>
                      <m:t>=0 </m:t>
                    </m:r>
                    <m:r>
                      <a:rPr lang="es-AR" sz="1800" b="0" i="1">
                        <a:latin typeface="Cambria Math" panose="02040503050406030204" pitchFamily="18" charset="0"/>
                      </a:rPr>
                      <m:t>𝐾𝐽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F1ED56A2-908D-4FBA-8957-78CBFA74CABC}"/>
                </a:ext>
              </a:extLst>
            </xdr:cNvPr>
            <xdr:cNvSpPr txBox="1"/>
          </xdr:nvSpPr>
          <xdr:spPr>
            <a:xfrm>
              <a:off x="7019925" y="37252275"/>
              <a:ext cx="1171575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AR" sz="1800" b="0" i="0">
                  <a:latin typeface="Cambria Math" panose="02040503050406030204" pitchFamily="18" charset="0"/>
                </a:rPr>
                <a:t>3(0)=0 𝐾𝐽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8</xdr:col>
      <xdr:colOff>123825</xdr:colOff>
      <xdr:row>169</xdr:row>
      <xdr:rowOff>19050</xdr:rowOff>
    </xdr:from>
    <xdr:ext cx="118110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FC404976-7457-4FA7-8F7A-3B2362E108C3}"/>
                </a:ext>
              </a:extLst>
            </xdr:cNvPr>
            <xdr:cNvSpPr txBox="1"/>
          </xdr:nvSpPr>
          <xdr:spPr>
            <a:xfrm>
              <a:off x="7134225" y="37528500"/>
              <a:ext cx="11811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AR" sz="1800" b="0" i="1">
                      <a:latin typeface="Cambria Math" panose="02040503050406030204" pitchFamily="18" charset="0"/>
                    </a:rPr>
                    <m:t>−477</m:t>
                  </m:r>
                </m:oMath>
              </a14:m>
              <a:r>
                <a:rPr lang="es-419" sz="1800"/>
                <a:t>,4     KJ</a:t>
              </a:r>
            </a:p>
          </xdr:txBody>
        </xdr:sp>
      </mc:Choice>
      <mc:Fallback xmlns="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FC404976-7457-4FA7-8F7A-3B2362E108C3}"/>
                </a:ext>
              </a:extLst>
            </xdr:cNvPr>
            <xdr:cNvSpPr txBox="1"/>
          </xdr:nvSpPr>
          <xdr:spPr>
            <a:xfrm>
              <a:off x="7134225" y="37528500"/>
              <a:ext cx="11811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AR" sz="1800" b="0" i="0">
                  <a:latin typeface="Cambria Math" panose="02040503050406030204" pitchFamily="18" charset="0"/>
                </a:rPr>
                <a:t>−477</a:t>
              </a:r>
              <a:r>
                <a:rPr lang="es-419" sz="1800"/>
                <a:t>,4     KJ</a:t>
              </a:r>
            </a:p>
          </xdr:txBody>
        </xdr:sp>
      </mc:Fallback>
    </mc:AlternateContent>
    <xdr:clientData/>
  </xdr:oneCellAnchor>
  <xdr:oneCellAnchor>
    <xdr:from>
      <xdr:col>2</xdr:col>
      <xdr:colOff>0</xdr:colOff>
      <xdr:row>174</xdr:row>
      <xdr:rowOff>0</xdr:rowOff>
    </xdr:from>
    <xdr:ext cx="3680879" cy="3000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EAFA4C45-1814-45A5-86C1-77ABA8734979}"/>
                </a:ext>
              </a:extLst>
            </xdr:cNvPr>
            <xdr:cNvSpPr txBox="1"/>
          </xdr:nvSpPr>
          <xdr:spPr>
            <a:xfrm>
              <a:off x="762000" y="27879675"/>
              <a:ext cx="3680879" cy="3000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1600">
                      <a:latin typeface="Cambria Math" panose="02040503050406030204" pitchFamily="18" charset="0"/>
                    </a:rPr>
                    <m:t>Δ</m:t>
                  </m:r>
                  <m:sSup>
                    <m:sSupPr>
                      <m:ctrlPr>
                        <a:rPr lang="es-AR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16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p>
                      <m:r>
                        <a:rPr lang="es-AR" sz="1600" i="0">
                          <a:latin typeface="Cambria Math" panose="02040503050406030204" pitchFamily="18" charset="0"/>
                        </a:rPr>
                        <m:t>0</m:t>
                      </m:r>
                    </m:sup>
                  </m:sSup>
                  <m:r>
                    <a:rPr lang="es-AR" sz="1600" i="0">
                      <a:latin typeface="Cambria Math" panose="02040503050406030204" pitchFamily="18" charset="0"/>
                    </a:rPr>
                    <m:t>=</m:t>
                  </m:r>
                  <m:r>
                    <a:rPr lang="es-AR" sz="1600" i="1">
                      <a:latin typeface="Cambria Math" panose="02040503050406030204" pitchFamily="18" charset="0"/>
                    </a:rPr>
                    <m:t>𝛴</m:t>
                  </m:r>
                  <m:r>
                    <m:rPr>
                      <m:sty m:val="p"/>
                    </m:rPr>
                    <a:rPr lang="es-AR" sz="16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Δ</m:t>
                  </m:r>
                  <m:sSubSup>
                    <m:sSubSupPr>
                      <m:ctrlP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</m:sub>
                    <m:sup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p>
                  </m:sSubSup>
                </m:oMath>
              </a14:m>
              <a:r>
                <a:rPr lang="es-AR" sz="1600"/>
                <a:t>(productos) - </a:t>
              </a:r>
              <a14:m>
                <m:oMath xmlns:m="http://schemas.openxmlformats.org/officeDocument/2006/math">
                  <m:r>
                    <a:rPr lang="es-AR" sz="16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𝛴</m:t>
                  </m:r>
                  <m:r>
                    <m:rPr>
                      <m:sty m:val="p"/>
                    </m:rPr>
                    <a:rPr lang="es-AR" sz="16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Δ</m:t>
                  </m:r>
                  <m:sSubSup>
                    <m:sSubSupPr>
                      <m:ctrlP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</m:sub>
                    <m:sup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p>
                  </m:sSubSup>
                </m:oMath>
              </a14:m>
              <a:r>
                <a:rPr lang="es-A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(reactivos)</a:t>
              </a:r>
              <a:r>
                <a:rPr lang="es-AR" sz="1600"/>
                <a:t> </a:t>
              </a:r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EAFA4C45-1814-45A5-86C1-77ABA8734979}"/>
                </a:ext>
              </a:extLst>
            </xdr:cNvPr>
            <xdr:cNvSpPr txBox="1"/>
          </xdr:nvSpPr>
          <xdr:spPr>
            <a:xfrm>
              <a:off x="762000" y="27879675"/>
              <a:ext cx="3680879" cy="3000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600" i="0">
                  <a:latin typeface="Cambria Math" panose="02040503050406030204" pitchFamily="18" charset="0"/>
                </a:rPr>
                <a:t>Δ𝐻^0=𝛴</a:t>
              </a:r>
              <a:r>
                <a:rPr lang="es-AR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Δ𝐻_𝑓^0</a:t>
              </a:r>
              <a:r>
                <a:rPr lang="es-AR" sz="1600"/>
                <a:t>(productos) - </a:t>
              </a:r>
              <a:r>
                <a:rPr lang="es-AR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𝛴Δ𝐻_𝑓^0</a:t>
              </a:r>
              <a:r>
                <a:rPr lang="es-A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(reactivos)</a:t>
              </a:r>
              <a:r>
                <a:rPr lang="es-AR" sz="1600"/>
                <a:t> </a:t>
              </a:r>
            </a:p>
          </xdr:txBody>
        </xdr:sp>
      </mc:Fallback>
    </mc:AlternateContent>
    <xdr:clientData/>
  </xdr:oneCellAnchor>
  <xdr:oneCellAnchor>
    <xdr:from>
      <xdr:col>6</xdr:col>
      <xdr:colOff>438150</xdr:colOff>
      <xdr:row>179</xdr:row>
      <xdr:rowOff>142875</xdr:rowOff>
    </xdr:from>
    <xdr:ext cx="2474332" cy="2868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99E0A22E-7225-4531-B0EC-DC237499A447}"/>
                </a:ext>
              </a:extLst>
            </xdr:cNvPr>
            <xdr:cNvSpPr txBox="1"/>
          </xdr:nvSpPr>
          <xdr:spPr>
            <a:xfrm>
              <a:off x="5276850" y="39890700"/>
              <a:ext cx="2474332" cy="286873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1800">
                      <a:latin typeface="Cambria Math" panose="02040503050406030204" pitchFamily="18" charset="0"/>
                    </a:rPr>
                    <m:t>Δ</m:t>
                  </m:r>
                  <m:sSup>
                    <m:sSupPr>
                      <m:ctrlPr>
                        <a:rPr lang="es-AR" sz="18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18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p>
                      <m:r>
                        <a:rPr lang="es-AR" sz="1800" i="0">
                          <a:latin typeface="Cambria Math" panose="02040503050406030204" pitchFamily="18" charset="0"/>
                        </a:rPr>
                        <m:t>0</m:t>
                      </m:r>
                    </m:sup>
                  </m:sSup>
                  <m:r>
                    <a:rPr lang="es-AR" sz="180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AR" sz="1800"/>
                <a:t>(-1930.2) - </a:t>
              </a:r>
              <a:r>
                <a:rPr lang="es-AR" sz="18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(-477.4)</a:t>
              </a:r>
              <a:r>
                <a:rPr lang="es-AR" sz="1800"/>
                <a:t> </a:t>
              </a:r>
            </a:p>
          </xdr:txBody>
        </xdr:sp>
      </mc:Choice>
      <mc:Fallback xmlns="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99E0A22E-7225-4531-B0EC-DC237499A447}"/>
                </a:ext>
              </a:extLst>
            </xdr:cNvPr>
            <xdr:cNvSpPr txBox="1"/>
          </xdr:nvSpPr>
          <xdr:spPr>
            <a:xfrm>
              <a:off x="5276850" y="39890700"/>
              <a:ext cx="2474332" cy="286873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800" i="0">
                  <a:latin typeface="Cambria Math" panose="02040503050406030204" pitchFamily="18" charset="0"/>
                </a:rPr>
                <a:t>Δ𝐻^0=</a:t>
              </a:r>
              <a:r>
                <a:rPr lang="es-AR" sz="1800"/>
                <a:t>(-1930.2) - </a:t>
              </a:r>
              <a:r>
                <a:rPr lang="es-AR" sz="18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(-477.4)</a:t>
              </a:r>
              <a:r>
                <a:rPr lang="es-AR" sz="1800"/>
                <a:t> </a:t>
              </a:r>
            </a:p>
          </xdr:txBody>
        </xdr:sp>
      </mc:Fallback>
    </mc:AlternateContent>
    <xdr:clientData/>
  </xdr:oneCellAnchor>
  <xdr:oneCellAnchor>
    <xdr:from>
      <xdr:col>6</xdr:col>
      <xdr:colOff>409575</xdr:colOff>
      <xdr:row>182</xdr:row>
      <xdr:rowOff>133350</xdr:rowOff>
    </xdr:from>
    <xdr:ext cx="2116092" cy="2868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E89978BB-2A66-4C67-8DF5-4DFE2D6640BD}"/>
                </a:ext>
              </a:extLst>
            </xdr:cNvPr>
            <xdr:cNvSpPr txBox="1"/>
          </xdr:nvSpPr>
          <xdr:spPr>
            <a:xfrm>
              <a:off x="5248275" y="40452675"/>
              <a:ext cx="2116092" cy="286873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1800">
                      <a:latin typeface="Cambria Math" panose="02040503050406030204" pitchFamily="18" charset="0"/>
                    </a:rPr>
                    <m:t>Δ</m:t>
                  </m:r>
                  <m:sSup>
                    <m:sSupPr>
                      <m:ctrlPr>
                        <a:rPr lang="es-AR" sz="18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18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p>
                      <m:r>
                        <a:rPr lang="es-AR" sz="1800" i="0">
                          <a:latin typeface="Cambria Math" panose="02040503050406030204" pitchFamily="18" charset="0"/>
                        </a:rPr>
                        <m:t>0</m:t>
                      </m:r>
                    </m:sup>
                  </m:sSup>
                  <m:r>
                    <a:rPr lang="es-AR" sz="180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AR" sz="1800"/>
                <a:t>-1452.8</a:t>
              </a:r>
              <a:r>
                <a:rPr lang="es-AR" sz="1800" baseline="0"/>
                <a:t> KJ/mol</a:t>
              </a:r>
              <a:r>
                <a:rPr lang="es-AR" sz="1800"/>
                <a:t> </a:t>
              </a:r>
            </a:p>
          </xdr:txBody>
        </xdr:sp>
      </mc:Choice>
      <mc:Fallback xmlns="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E89978BB-2A66-4C67-8DF5-4DFE2D6640BD}"/>
                </a:ext>
              </a:extLst>
            </xdr:cNvPr>
            <xdr:cNvSpPr txBox="1"/>
          </xdr:nvSpPr>
          <xdr:spPr>
            <a:xfrm>
              <a:off x="5248275" y="40452675"/>
              <a:ext cx="2116092" cy="286873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800" i="0">
                  <a:latin typeface="Cambria Math" panose="02040503050406030204" pitchFamily="18" charset="0"/>
                </a:rPr>
                <a:t>Δ𝐻^0=</a:t>
              </a:r>
              <a:r>
                <a:rPr lang="es-AR" sz="1800"/>
                <a:t>-1452.8</a:t>
              </a:r>
              <a:r>
                <a:rPr lang="es-AR" sz="1800" baseline="0"/>
                <a:t> KJ/mol</a:t>
              </a:r>
              <a:r>
                <a:rPr lang="es-AR" sz="1800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189</xdr:row>
      <xdr:rowOff>0</xdr:rowOff>
    </xdr:from>
    <xdr:ext cx="350520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BD6A80B8-AF00-4038-B934-4AD701E1472C}"/>
                </a:ext>
              </a:extLst>
            </xdr:cNvPr>
            <xdr:cNvSpPr txBox="1"/>
          </xdr:nvSpPr>
          <xdr:spPr>
            <a:xfrm>
              <a:off x="762000" y="41729025"/>
              <a:ext cx="35052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CH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OH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+3</m:t>
                  </m:r>
                  <m:sSub>
                    <m:sSubPr>
                      <m:ctrlP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O</m:t>
                      </m:r>
                    </m:e>
                    <m:sub>
                      <m:r>
                        <a:rPr lang="es-419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s-419" sz="18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→</m:t>
                  </m:r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2</m:t>
                  </m:r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C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s-419" sz="18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O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2  </m:t>
                      </m:r>
                    </m:sub>
                  </m:sSub>
                  <m:r>
                    <a:rPr lang="es-MX" sz="1800" b="0" i="1">
                      <a:latin typeface="Cambria Math" panose="02040503050406030204" pitchFamily="18" charset="0"/>
                    </a:rPr>
                    <m:t>+</m:t>
                  </m:r>
                </m:oMath>
              </a14:m>
              <a:r>
                <a:rPr lang="es-419" sz="1800"/>
                <a:t>4</a:t>
              </a:r>
              <a14:m>
                <m:oMath xmlns:m="http://schemas.openxmlformats.org/officeDocument/2006/math">
                  <m:sSub>
                    <m:sSubPr>
                      <m:ctrlPr>
                        <a:rPr lang="es-419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419" sz="18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s-419" sz="1800" i="0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</m:oMath>
              </a14:m>
              <a:endParaRPr lang="es-419" sz="1800"/>
            </a:p>
          </xdr:txBody>
        </xdr:sp>
      </mc:Choice>
      <mc:Fallback xmlns="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BD6A80B8-AF00-4038-B934-4AD701E1472C}"/>
                </a:ext>
              </a:extLst>
            </xdr:cNvPr>
            <xdr:cNvSpPr txBox="1"/>
          </xdr:nvSpPr>
          <xdr:spPr>
            <a:xfrm>
              <a:off x="762000" y="41729025"/>
              <a:ext cx="350520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/>
                <a:t>2</a:t>
              </a:r>
              <a:r>
                <a:rPr lang="es-MX" sz="1800" b="0" i="0">
                  <a:latin typeface="Cambria Math" panose="02040503050406030204" pitchFamily="18" charset="0"/>
                </a:rPr>
                <a:t>CH_3 OH +3</a:t>
              </a:r>
              <a:r>
                <a:rPr lang="es-419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O_2</a:t>
              </a:r>
              <a:r>
                <a:rPr lang="es-419" sz="1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→" 2C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s-MX" sz="1800" b="0" i="0">
                  <a:latin typeface="Cambria Math" panose="02040503050406030204" pitchFamily="18" charset="0"/>
                </a:rPr>
                <a:t> O</a:t>
              </a:r>
              <a:r>
                <a:rPr lang="es-419" sz="1800" b="0" i="0">
                  <a:latin typeface="Cambria Math" panose="02040503050406030204" pitchFamily="18" charset="0"/>
                </a:rPr>
                <a:t>_(</a:t>
              </a:r>
              <a:r>
                <a:rPr lang="es-MX" sz="1800" b="0" i="0">
                  <a:latin typeface="Cambria Math" panose="02040503050406030204" pitchFamily="18" charset="0"/>
                </a:rPr>
                <a:t>2  </a:t>
              </a:r>
              <a:r>
                <a:rPr lang="es-419" sz="1800" b="0" i="0">
                  <a:latin typeface="Cambria Math" panose="02040503050406030204" pitchFamily="18" charset="0"/>
                </a:rPr>
                <a:t>)</a:t>
              </a:r>
              <a:r>
                <a:rPr lang="es-MX" sz="1800" b="0" i="0">
                  <a:latin typeface="Cambria Math" panose="02040503050406030204" pitchFamily="18" charset="0"/>
                </a:rPr>
                <a:t>+</a:t>
              </a:r>
              <a:r>
                <a:rPr lang="es-419" sz="1800"/>
                <a:t>4</a:t>
              </a:r>
              <a:r>
                <a:rPr lang="es-419" sz="1800" i="0">
                  <a:latin typeface="Cambria Math" panose="02040503050406030204" pitchFamily="18" charset="0"/>
                </a:rPr>
                <a:t>𝐻_2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6</xdr:col>
      <xdr:colOff>0</xdr:colOff>
      <xdr:row>195</xdr:row>
      <xdr:rowOff>0</xdr:rowOff>
    </xdr:from>
    <xdr:ext cx="3345788" cy="4499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E0A6BA78-D36F-428C-A0FF-077C07E7F7C6}"/>
                </a:ext>
              </a:extLst>
            </xdr:cNvPr>
            <xdr:cNvSpPr txBox="1"/>
          </xdr:nvSpPr>
          <xdr:spPr>
            <a:xfrm>
              <a:off x="4838700" y="43100625"/>
              <a:ext cx="3345788" cy="449931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2000">
                      <a:latin typeface="Cambria Math" panose="02040503050406030204" pitchFamily="18" charset="0"/>
                    </a:rPr>
                    <m:t>Δ</m:t>
                  </m:r>
                  <m:sSup>
                    <m:sSupPr>
                      <m:ctrlPr>
                        <a:rPr lang="es-AR" sz="20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20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p>
                      <m:r>
                        <a:rPr lang="es-AR" sz="2000" i="0">
                          <a:latin typeface="Cambria Math" panose="02040503050406030204" pitchFamily="18" charset="0"/>
                        </a:rPr>
                        <m:t>0</m:t>
                      </m:r>
                    </m:sup>
                  </m:sSup>
                  <m:r>
                    <a:rPr lang="es-AR" sz="200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AR" sz="2000"/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es-AR" sz="20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2000" b="0" i="1">
                          <a:latin typeface="Cambria Math" panose="02040503050406030204" pitchFamily="18" charset="0"/>
                        </a:rPr>
                        <m:t>1452.8 </m:t>
                      </m:r>
                      <m:r>
                        <m:rPr>
                          <m:sty m:val="p"/>
                        </m:rPr>
                        <a:rPr lang="es-MX" sz="2000" b="0" i="1">
                          <a:latin typeface="Cambria Math" panose="02040503050406030204" pitchFamily="18" charset="0"/>
                        </a:rPr>
                        <m:t>KJ</m:t>
                      </m:r>
                      <m:r>
                        <a:rPr lang="es-MX" sz="2000" b="0" i="1">
                          <a:latin typeface="Cambria Math" panose="02040503050406030204" pitchFamily="18" charset="0"/>
                        </a:rPr>
                        <m:t>/</m:t>
                      </m:r>
                      <m:r>
                        <m:rPr>
                          <m:sty m:val="p"/>
                        </m:rPr>
                        <a:rPr lang="es-MX" sz="2000" b="0" i="1">
                          <a:latin typeface="Cambria Math" panose="02040503050406030204" pitchFamily="18" charset="0"/>
                        </a:rPr>
                        <m:t>mol</m:t>
                      </m:r>
                    </m:num>
                    <m:den>
                      <m:r>
                        <a:rPr lang="es-MX" sz="20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</m:oMath>
              </a14:m>
              <a:r>
                <a:rPr lang="es-AR" sz="1800"/>
                <a:t>=-726</a:t>
              </a:r>
              <a:r>
                <a:rPr lang="es-AR" sz="1800" baseline="0"/>
                <a:t> KJ/mol</a:t>
              </a:r>
              <a:r>
                <a:rPr lang="es-AR" sz="1800"/>
                <a:t> </a:t>
              </a:r>
            </a:p>
          </xdr:txBody>
        </xdr:sp>
      </mc:Choice>
      <mc:Fallback xmlns="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E0A6BA78-D36F-428C-A0FF-077C07E7F7C6}"/>
                </a:ext>
              </a:extLst>
            </xdr:cNvPr>
            <xdr:cNvSpPr txBox="1"/>
          </xdr:nvSpPr>
          <xdr:spPr>
            <a:xfrm>
              <a:off x="4838700" y="43100625"/>
              <a:ext cx="3345788" cy="449931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2000" i="0">
                  <a:latin typeface="Cambria Math" panose="02040503050406030204" pitchFamily="18" charset="0"/>
                </a:rPr>
                <a:t>Δ𝐻^0=</a:t>
              </a:r>
              <a:r>
                <a:rPr lang="es-AR" sz="2000"/>
                <a:t>-</a:t>
              </a:r>
              <a:r>
                <a:rPr lang="es-AR" sz="2000" i="0">
                  <a:latin typeface="Cambria Math" panose="02040503050406030204" pitchFamily="18" charset="0"/>
                </a:rPr>
                <a:t>(</a:t>
              </a:r>
              <a:r>
                <a:rPr lang="es-MX" sz="2000" b="0" i="0">
                  <a:latin typeface="Cambria Math" panose="02040503050406030204" pitchFamily="18" charset="0"/>
                </a:rPr>
                <a:t>1452.8 KJ/mol</a:t>
              </a:r>
              <a:r>
                <a:rPr lang="es-AR" sz="2000" b="0" i="0">
                  <a:latin typeface="Cambria Math" panose="02040503050406030204" pitchFamily="18" charset="0"/>
                </a:rPr>
                <a:t>)/</a:t>
              </a:r>
              <a:r>
                <a:rPr lang="es-MX" sz="2000" b="0" i="0">
                  <a:latin typeface="Cambria Math" panose="02040503050406030204" pitchFamily="18" charset="0"/>
                </a:rPr>
                <a:t>2</a:t>
              </a:r>
              <a:r>
                <a:rPr lang="es-AR" sz="1800"/>
                <a:t>=-726</a:t>
              </a:r>
              <a:r>
                <a:rPr lang="es-AR" sz="1800" baseline="0"/>
                <a:t> KJ/mol</a:t>
              </a:r>
              <a:r>
                <a:rPr lang="es-AR" sz="1800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723900</xdr:colOff>
      <xdr:row>200</xdr:row>
      <xdr:rowOff>76200</xdr:rowOff>
    </xdr:from>
    <xdr:ext cx="4314825" cy="5636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29234E11-326E-447E-BA01-E38C2D34937A}"/>
                </a:ext>
              </a:extLst>
            </xdr:cNvPr>
            <xdr:cNvSpPr txBox="1"/>
          </xdr:nvSpPr>
          <xdr:spPr>
            <a:xfrm>
              <a:off x="1485900" y="44129325"/>
              <a:ext cx="4314825" cy="563616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800"/>
                <a:t>para el</a:t>
              </a:r>
              <a:r>
                <a:rPr lang="es-MX" sz="1800" baseline="0"/>
                <a:t> Metanol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CH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1800" b="0" i="1">
                      <a:latin typeface="Cambria Math" panose="02040503050406030204" pitchFamily="18" charset="0"/>
                    </a:rPr>
                    <m:t>OH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s-419" sz="1800"/>
                <a:t>  -726kJ/mol</a:t>
              </a:r>
            </a:p>
            <a:p>
              <a:r>
                <a:rPr lang="es-419" sz="1800"/>
                <a:t>como tenemos 4 moles  E= 4*-726= -2904KJ</a:t>
              </a:r>
            </a:p>
          </xdr:txBody>
        </xdr:sp>
      </mc:Choice>
      <mc:Fallback xmlns="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29234E11-326E-447E-BA01-E38C2D34937A}"/>
                </a:ext>
              </a:extLst>
            </xdr:cNvPr>
            <xdr:cNvSpPr txBox="1"/>
          </xdr:nvSpPr>
          <xdr:spPr>
            <a:xfrm>
              <a:off x="1485900" y="44129325"/>
              <a:ext cx="4314825" cy="563616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800"/>
                <a:t>para el</a:t>
              </a:r>
              <a:r>
                <a:rPr lang="es-MX" sz="1800" baseline="0"/>
                <a:t> Metanol </a:t>
              </a:r>
              <a:r>
                <a:rPr lang="es-MX" sz="1800" b="0" i="0">
                  <a:latin typeface="Cambria Math" panose="02040503050406030204" pitchFamily="18" charset="0"/>
                </a:rPr>
                <a:t>CH_3 OH </a:t>
              </a:r>
              <a:r>
                <a:rPr lang="es-419" sz="1800"/>
                <a:t>  -726kJ/mol</a:t>
              </a:r>
            </a:p>
            <a:p>
              <a:r>
                <a:rPr lang="es-419" sz="1800"/>
                <a:t>como tenemos 4 moles  E= 4*-726= -2904KJ</a:t>
              </a:r>
            </a:p>
          </xdr:txBody>
        </xdr:sp>
      </mc:Fallback>
    </mc:AlternateContent>
    <xdr:clientData/>
  </xdr:oneCellAnchor>
  <xdr:twoCellAnchor editAs="oneCell">
    <xdr:from>
      <xdr:col>13</xdr:col>
      <xdr:colOff>104775</xdr:colOff>
      <xdr:row>193</xdr:row>
      <xdr:rowOff>95250</xdr:rowOff>
    </xdr:from>
    <xdr:to>
      <xdr:col>18</xdr:col>
      <xdr:colOff>267254</xdr:colOff>
      <xdr:row>199</xdr:row>
      <xdr:rowOff>66841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C1F704E0-61CD-8619-9167-77BDC0023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68275" y="42538650"/>
          <a:ext cx="3972479" cy="1190791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214</xdr:row>
      <xdr:rowOff>0</xdr:rowOff>
    </xdr:from>
    <xdr:ext cx="3244671" cy="3118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56D47C6C-7AE1-44D9-ACE4-D50C1353FDA3}"/>
                </a:ext>
              </a:extLst>
            </xdr:cNvPr>
            <xdr:cNvSpPr txBox="1"/>
          </xdr:nvSpPr>
          <xdr:spPr>
            <a:xfrm>
              <a:off x="6124575" y="47177325"/>
              <a:ext cx="3244671" cy="3118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2000">
                      <a:latin typeface="Cambria Math" panose="02040503050406030204" pitchFamily="18" charset="0"/>
                    </a:rPr>
                    <m:t>Δ</m:t>
                  </m:r>
                  <m:sSup>
                    <m:sSupPr>
                      <m:ctrlPr>
                        <a:rPr lang="es-AR" sz="20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20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p>
                      <m:r>
                        <a:rPr lang="es-AR" sz="2000" i="0">
                          <a:latin typeface="Cambria Math" panose="02040503050406030204" pitchFamily="18" charset="0"/>
                        </a:rPr>
                        <m:t>0</m:t>
                      </m:r>
                    </m:sup>
                  </m:sSup>
                  <m:r>
                    <m:rPr>
                      <m:sty m:val="p"/>
                    </m:rPr>
                    <a:rPr lang="es-MX" sz="2000" b="0" i="0">
                      <a:latin typeface="Cambria Math" panose="02040503050406030204" pitchFamily="18" charset="0"/>
                    </a:rPr>
                    <m:t>combustible</m:t>
                  </m:r>
                  <m:r>
                    <a:rPr lang="es-AR" sz="200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AR" sz="1800"/>
                <a:t>-726</a:t>
              </a:r>
              <a:r>
                <a:rPr lang="es-AR" sz="1800" baseline="0"/>
                <a:t> KJ/mol</a:t>
              </a:r>
              <a:r>
                <a:rPr lang="es-AR" sz="1800"/>
                <a:t> </a:t>
              </a:r>
            </a:p>
          </xdr:txBody>
        </xdr:sp>
      </mc:Choice>
      <mc:Fallback xmlns="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56D47C6C-7AE1-44D9-ACE4-D50C1353FDA3}"/>
                </a:ext>
              </a:extLst>
            </xdr:cNvPr>
            <xdr:cNvSpPr txBox="1"/>
          </xdr:nvSpPr>
          <xdr:spPr>
            <a:xfrm>
              <a:off x="6124575" y="47177325"/>
              <a:ext cx="3244671" cy="3118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2000" i="0">
                  <a:latin typeface="Cambria Math" panose="02040503050406030204" pitchFamily="18" charset="0"/>
                </a:rPr>
                <a:t>Δ𝐻^0</a:t>
              </a:r>
              <a:r>
                <a:rPr lang="es-MX" sz="2000" b="0" i="0">
                  <a:latin typeface="Cambria Math" panose="02040503050406030204" pitchFamily="18" charset="0"/>
                </a:rPr>
                <a:t> combustible</a:t>
              </a:r>
              <a:r>
                <a:rPr lang="es-AR" sz="2000" i="0">
                  <a:latin typeface="Cambria Math" panose="02040503050406030204" pitchFamily="18" charset="0"/>
                </a:rPr>
                <a:t>=</a:t>
              </a:r>
              <a:r>
                <a:rPr lang="es-AR" sz="1800"/>
                <a:t>-726</a:t>
              </a:r>
              <a:r>
                <a:rPr lang="es-AR" sz="1800" baseline="0"/>
                <a:t> KJ/mol</a:t>
              </a:r>
              <a:r>
                <a:rPr lang="es-AR" sz="1800"/>
                <a:t> </a:t>
              </a:r>
            </a:p>
          </xdr:txBody>
        </xdr:sp>
      </mc:Fallback>
    </mc:AlternateContent>
    <xdr:clientData/>
  </xdr:oneCellAnchor>
  <xdr:oneCellAnchor>
    <xdr:from>
      <xdr:col>7</xdr:col>
      <xdr:colOff>0</xdr:colOff>
      <xdr:row>219</xdr:row>
      <xdr:rowOff>0</xdr:rowOff>
    </xdr:from>
    <xdr:ext cx="4917500" cy="6014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5DF33965-CC10-4DC0-B8FD-894F9A0ED9DC}"/>
                </a:ext>
              </a:extLst>
            </xdr:cNvPr>
            <xdr:cNvSpPr txBox="1"/>
          </xdr:nvSpPr>
          <xdr:spPr>
            <a:xfrm>
              <a:off x="6124575" y="48129825"/>
              <a:ext cx="4917500" cy="601447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MX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para el Metanol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20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CH</m:t>
                      </m:r>
                    </m:e>
                    <m:sub>
                      <m:r>
                        <a:rPr lang="es-MX" sz="20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20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OH</m:t>
                  </m:r>
                  <m:r>
                    <a:rPr lang="es-MX" sz="20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-726kJ/mol</a:t>
              </a: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como tenemos 4 moles  E= 4*-726= -2904KJ</a:t>
              </a:r>
            </a:p>
          </xdr:txBody>
        </xdr:sp>
      </mc:Choice>
      <mc:Fallback xmlns="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5DF33965-CC10-4DC0-B8FD-894F9A0ED9DC}"/>
                </a:ext>
              </a:extLst>
            </xdr:cNvPr>
            <xdr:cNvSpPr txBox="1"/>
          </xdr:nvSpPr>
          <xdr:spPr>
            <a:xfrm>
              <a:off x="6124575" y="48129825"/>
              <a:ext cx="4917500" cy="601447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MX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para el Metanol </a:t>
              </a:r>
              <a:r>
                <a:rPr lang="es-MX" sz="20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CH_3 OH </a:t>
              </a:r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-726kJ/mol</a:t>
              </a: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como tenemos 4 moles  E= 4*-726= -2904KJ</a:t>
              </a:r>
            </a:p>
          </xdr:txBody>
        </xdr:sp>
      </mc:Fallback>
    </mc:AlternateContent>
    <xdr:clientData/>
  </xdr:oneCellAnchor>
  <xdr:oneCellAnchor>
    <xdr:from>
      <xdr:col>6</xdr:col>
      <xdr:colOff>1133475</xdr:colOff>
      <xdr:row>226</xdr:row>
      <xdr:rowOff>171450</xdr:rowOff>
    </xdr:from>
    <xdr:ext cx="4911666" cy="902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CCE91A78-3601-4B34-8D90-7F416A8F4698}"/>
                </a:ext>
              </a:extLst>
            </xdr:cNvPr>
            <xdr:cNvSpPr txBox="1"/>
          </xdr:nvSpPr>
          <xdr:spPr>
            <a:xfrm>
              <a:off x="6076950" y="49863375"/>
              <a:ext cx="4911666" cy="90217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MX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para el Metanol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20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CH</m:t>
                      </m:r>
                    </m:e>
                    <m:sub>
                      <m:r>
                        <a:rPr lang="es-MX" sz="20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20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OH</m:t>
                  </m:r>
                  <m:r>
                    <a:rPr lang="es-MX" sz="20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s-419" sz="2000" baseline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da  32.04 g/mol</a:t>
              </a:r>
              <a:endParaRPr lang="es-419" sz="20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como tenemos 4 moles  la masa es = 4*32.04</a:t>
              </a: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Lo</a:t>
              </a:r>
              <a:r>
                <a:rPr lang="es-419" sz="2000" baseline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cual es = 128.16 gr</a:t>
              </a:r>
              <a:endParaRPr lang="es-419" sz="20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CCE91A78-3601-4B34-8D90-7F416A8F4698}"/>
                </a:ext>
              </a:extLst>
            </xdr:cNvPr>
            <xdr:cNvSpPr txBox="1"/>
          </xdr:nvSpPr>
          <xdr:spPr>
            <a:xfrm>
              <a:off x="6076950" y="49863375"/>
              <a:ext cx="4911666" cy="90217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MX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para el Metanol </a:t>
              </a:r>
              <a:r>
                <a:rPr lang="es-MX" sz="20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CH_3 OH </a:t>
              </a:r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s-419" sz="2000" baseline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da  32.04 g/mol</a:t>
              </a:r>
              <a:endParaRPr lang="es-419" sz="20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como tenemos 4 moles  la masa es = 4*32.04</a:t>
              </a: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Lo</a:t>
              </a:r>
              <a:r>
                <a:rPr lang="es-419" sz="2000" baseline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cual es = 128.16 gr</a:t>
              </a:r>
              <a:endParaRPr lang="es-419" sz="20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234</xdr:row>
      <xdr:rowOff>0</xdr:rowOff>
    </xdr:from>
    <xdr:ext cx="949875" cy="300723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A897A467-8AC7-457E-9A15-5021F897E099}"/>
            </a:ext>
          </a:extLst>
        </xdr:cNvPr>
        <xdr:cNvSpPr txBox="1"/>
      </xdr:nvSpPr>
      <xdr:spPr>
        <a:xfrm>
          <a:off x="6124575" y="51292125"/>
          <a:ext cx="949875" cy="3007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indent="0"/>
          <a:r>
            <a:rPr lang="es-419" sz="2000">
              <a:solidFill>
                <a:schemeClr val="tx1"/>
              </a:solidFill>
              <a:latin typeface="Cambria Math" panose="02040503050406030204" pitchFamily="18" charset="0"/>
              <a:ea typeface="+mn-ea"/>
              <a:cs typeface="+mn-cs"/>
            </a:rPr>
            <a:t> -2904KJ</a:t>
          </a:r>
        </a:p>
      </xdr:txBody>
    </xdr:sp>
    <xdr:clientData/>
  </xdr:oneCellAnchor>
  <xdr:oneCellAnchor>
    <xdr:from>
      <xdr:col>5</xdr:col>
      <xdr:colOff>57150</xdr:colOff>
      <xdr:row>242</xdr:row>
      <xdr:rowOff>95250</xdr:rowOff>
    </xdr:from>
    <xdr:ext cx="1281505" cy="5782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F67393D5-AF42-3A7A-D160-F8BA88A084A9}"/>
                </a:ext>
              </a:extLst>
            </xdr:cNvPr>
            <xdr:cNvSpPr txBox="1"/>
          </xdr:nvSpPr>
          <xdr:spPr>
            <a:xfrm>
              <a:off x="4048125" y="53139975"/>
              <a:ext cx="1281505" cy="5782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2000" b="0" i="1">
                        <a:latin typeface="Cambria Math" panose="02040503050406030204" pitchFamily="18" charset="0"/>
                      </a:rPr>
                      <m:t>1</m:t>
                    </m:r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g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726</m:t>
                        </m:r>
                      </m:num>
                      <m:den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32.04</m:t>
                        </m:r>
                      </m:den>
                    </m:f>
                  </m:oMath>
                </m:oMathPara>
              </a14:m>
              <a:endParaRPr lang="es-419" sz="2000"/>
            </a:p>
          </xdr:txBody>
        </xdr:sp>
      </mc:Choice>
      <mc:Fallback xmlns="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F67393D5-AF42-3A7A-D160-F8BA88A084A9}"/>
                </a:ext>
              </a:extLst>
            </xdr:cNvPr>
            <xdr:cNvSpPr txBox="1"/>
          </xdr:nvSpPr>
          <xdr:spPr>
            <a:xfrm>
              <a:off x="4048125" y="53139975"/>
              <a:ext cx="1281505" cy="5782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b="0" i="0">
                  <a:latin typeface="Cambria Math" panose="02040503050406030204" pitchFamily="18" charset="0"/>
                </a:rPr>
                <a:t>1g=726</a:t>
              </a:r>
              <a:r>
                <a:rPr lang="es-419" sz="2000" b="0" i="0">
                  <a:latin typeface="Cambria Math" panose="02040503050406030204" pitchFamily="18" charset="0"/>
                </a:rPr>
                <a:t>/</a:t>
              </a:r>
              <a:r>
                <a:rPr lang="es-MX" sz="2000" b="0" i="0">
                  <a:latin typeface="Cambria Math" panose="02040503050406030204" pitchFamily="18" charset="0"/>
                </a:rPr>
                <a:t>32.04</a:t>
              </a:r>
              <a:endParaRPr lang="es-419" sz="2000"/>
            </a:p>
          </xdr:txBody>
        </xdr:sp>
      </mc:Fallback>
    </mc:AlternateContent>
    <xdr:clientData/>
  </xdr:oneCellAnchor>
  <xdr:oneCellAnchor>
    <xdr:from>
      <xdr:col>8</xdr:col>
      <xdr:colOff>0</xdr:colOff>
      <xdr:row>243</xdr:row>
      <xdr:rowOff>0</xdr:rowOff>
    </xdr:from>
    <xdr:ext cx="930768" cy="313099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62CD32A5-9DFD-46AB-AB51-0D572956FE21}"/>
            </a:ext>
          </a:extLst>
        </xdr:cNvPr>
        <xdr:cNvSpPr txBox="1"/>
      </xdr:nvSpPr>
      <xdr:spPr>
        <a:xfrm>
          <a:off x="7115175" y="53235225"/>
          <a:ext cx="930768" cy="3130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419" sz="2000"/>
            <a:t>22.7 kJ/g</a:t>
          </a:r>
        </a:p>
      </xdr:txBody>
    </xdr:sp>
    <xdr:clientData/>
  </xdr:oneCellAnchor>
  <xdr:oneCellAnchor>
    <xdr:from>
      <xdr:col>6</xdr:col>
      <xdr:colOff>0</xdr:colOff>
      <xdr:row>268</xdr:row>
      <xdr:rowOff>0</xdr:rowOff>
    </xdr:from>
    <xdr:ext cx="1622239" cy="584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D8D08289-CC67-499C-A270-86FC77E82E83}"/>
                </a:ext>
              </a:extLst>
            </xdr:cNvPr>
            <xdr:cNvSpPr txBox="1"/>
          </xdr:nvSpPr>
          <xdr:spPr>
            <a:xfrm>
              <a:off x="5381625" y="58864500"/>
              <a:ext cx="1622239" cy="584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m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g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es-419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5808</m:t>
                        </m:r>
                      </m:num>
                      <m:den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22.7</m:t>
                        </m:r>
                      </m:den>
                    </m:f>
                  </m:oMath>
                </m:oMathPara>
              </a14:m>
              <a:endParaRPr lang="es-419" sz="20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D8D08289-CC67-499C-A270-86FC77E82E83}"/>
                </a:ext>
              </a:extLst>
            </xdr:cNvPr>
            <xdr:cNvSpPr txBox="1"/>
          </xdr:nvSpPr>
          <xdr:spPr>
            <a:xfrm>
              <a:off x="5381625" y="58864500"/>
              <a:ext cx="1622239" cy="584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b="0" i="0">
                  <a:latin typeface="Cambria Math" panose="02040503050406030204" pitchFamily="18" charset="0"/>
                </a:rPr>
                <a:t>m (g)=5808</a:t>
              </a:r>
              <a:r>
                <a:rPr lang="es-419" sz="2000" b="0" i="0">
                  <a:latin typeface="Cambria Math" panose="02040503050406030204" pitchFamily="18" charset="0"/>
                </a:rPr>
                <a:t>/</a:t>
              </a:r>
              <a:r>
                <a:rPr lang="es-MX" sz="2000" b="0" i="0">
                  <a:latin typeface="Cambria Math" panose="02040503050406030204" pitchFamily="18" charset="0"/>
                </a:rPr>
                <a:t>22.7</a:t>
              </a:r>
              <a:endParaRPr lang="es-419" sz="2000"/>
            </a:p>
          </xdr:txBody>
        </xdr:sp>
      </mc:Fallback>
    </mc:AlternateContent>
    <xdr:clientData/>
  </xdr:oneCellAnchor>
  <xdr:oneCellAnchor>
    <xdr:from>
      <xdr:col>6</xdr:col>
      <xdr:colOff>0</xdr:colOff>
      <xdr:row>272</xdr:row>
      <xdr:rowOff>0</xdr:rowOff>
    </xdr:from>
    <xdr:ext cx="1667380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965D4902-8638-4C0D-8AE4-FB2BF4E57697}"/>
                </a:ext>
              </a:extLst>
            </xdr:cNvPr>
            <xdr:cNvSpPr txBox="1"/>
          </xdr:nvSpPr>
          <xdr:spPr>
            <a:xfrm>
              <a:off x="5381625" y="59626500"/>
              <a:ext cx="166738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m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g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)= 256 </m:t>
                    </m:r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g</m:t>
                    </m:r>
                  </m:oMath>
                </m:oMathPara>
              </a14:m>
              <a:endParaRPr lang="es-419" sz="2000"/>
            </a:p>
          </xdr:txBody>
        </xdr:sp>
      </mc:Choice>
      <mc:Fallback xmlns="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965D4902-8638-4C0D-8AE4-FB2BF4E57697}"/>
                </a:ext>
              </a:extLst>
            </xdr:cNvPr>
            <xdr:cNvSpPr txBox="1"/>
          </xdr:nvSpPr>
          <xdr:spPr>
            <a:xfrm>
              <a:off x="5381625" y="59626500"/>
              <a:ext cx="166738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b="0" i="0">
                  <a:latin typeface="Cambria Math" panose="02040503050406030204" pitchFamily="18" charset="0"/>
                </a:rPr>
                <a:t>m (g)= 256 g</a:t>
              </a:r>
              <a:endParaRPr lang="es-419" sz="2000"/>
            </a:p>
          </xdr:txBody>
        </xdr:sp>
      </mc:Fallback>
    </mc:AlternateContent>
    <xdr:clientData/>
  </xdr:oneCellAnchor>
  <xdr:twoCellAnchor editAs="oneCell">
    <xdr:from>
      <xdr:col>5</xdr:col>
      <xdr:colOff>984738</xdr:colOff>
      <xdr:row>35</xdr:row>
      <xdr:rowOff>0</xdr:rowOff>
    </xdr:from>
    <xdr:to>
      <xdr:col>7</xdr:col>
      <xdr:colOff>819428</xdr:colOff>
      <xdr:row>36</xdr:row>
      <xdr:rowOff>105565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08D6108-60FC-4F2C-9EF7-6FF2ABB96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56738" y="6693877"/>
          <a:ext cx="2032767" cy="404503"/>
        </a:xfrm>
        <a:prstGeom prst="rect">
          <a:avLst/>
        </a:prstGeom>
      </xdr:spPr>
    </xdr:pic>
    <xdr:clientData/>
  </xdr:twoCellAnchor>
  <xdr:oneCellAnchor>
    <xdr:from>
      <xdr:col>8</xdr:col>
      <xdr:colOff>1228725</xdr:colOff>
      <xdr:row>283</xdr:row>
      <xdr:rowOff>57151</xdr:rowOff>
    </xdr:from>
    <xdr:ext cx="5162550" cy="6014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CuadroTexto 42">
              <a:extLst>
                <a:ext uri="{FF2B5EF4-FFF2-40B4-BE49-F238E27FC236}">
                  <a16:creationId xmlns:a16="http://schemas.microsoft.com/office/drawing/2014/main" id="{E7626CA5-8C86-4E7A-B740-AA2940793D62}"/>
                </a:ext>
              </a:extLst>
            </xdr:cNvPr>
            <xdr:cNvSpPr txBox="1"/>
          </xdr:nvSpPr>
          <xdr:spPr>
            <a:xfrm>
              <a:off x="8782050" y="62788801"/>
              <a:ext cx="5162550" cy="601447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indent="0"/>
              <a:r>
                <a:rPr lang="es-MX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para el Metanol </a:t>
              </a:r>
              <a14:m>
                <m:oMath xmlns:m="http://schemas.openxmlformats.org/officeDocument/2006/math">
                  <m:sSub>
                    <m:sSubPr>
                      <m:ctrlPr>
                        <a:rPr lang="es-MX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20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CH</m:t>
                      </m:r>
                    </m:e>
                    <m:sub>
                      <m:r>
                        <a:rPr lang="es-MX" sz="200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m:rPr>
                      <m:sty m:val="p"/>
                    </m:rPr>
                    <a:rPr lang="es-MX" sz="20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OH</m:t>
                  </m:r>
                  <m:r>
                    <a:rPr lang="es-MX" sz="200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-726kJ/mol</a:t>
              </a: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como tenemos 4 moles  E= 4*-726= -2904KJ</a:t>
              </a:r>
            </a:p>
          </xdr:txBody>
        </xdr:sp>
      </mc:Choice>
      <mc:Fallback xmlns="">
        <xdr:sp macro="" textlink="">
          <xdr:nvSpPr>
            <xdr:cNvPr id="43" name="CuadroTexto 42">
              <a:extLst>
                <a:ext uri="{FF2B5EF4-FFF2-40B4-BE49-F238E27FC236}">
                  <a16:creationId xmlns:a16="http://schemas.microsoft.com/office/drawing/2014/main" id="{E7626CA5-8C86-4E7A-B740-AA2940793D62}"/>
                </a:ext>
              </a:extLst>
            </xdr:cNvPr>
            <xdr:cNvSpPr txBox="1"/>
          </xdr:nvSpPr>
          <xdr:spPr>
            <a:xfrm>
              <a:off x="8782050" y="62788801"/>
              <a:ext cx="5162550" cy="601447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indent="0"/>
              <a:r>
                <a:rPr lang="es-MX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para el Metanol </a:t>
              </a:r>
              <a:r>
                <a:rPr lang="es-MX" sz="20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CH_3 OH </a:t>
              </a:r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-726kJ/mol</a:t>
              </a:r>
            </a:p>
            <a:p>
              <a:pPr marL="0" indent="0"/>
              <a:r>
                <a:rPr lang="es-419" sz="20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como tenemos 4 moles  E= 4*-726= -2904KJ</a:t>
              </a:r>
            </a:p>
          </xdr:txBody>
        </xdr:sp>
      </mc:Fallback>
    </mc:AlternateContent>
    <xdr:clientData/>
  </xdr:oneCellAnchor>
  <xdr:oneCellAnchor>
    <xdr:from>
      <xdr:col>3</xdr:col>
      <xdr:colOff>0</xdr:colOff>
      <xdr:row>285</xdr:row>
      <xdr:rowOff>0</xdr:rowOff>
    </xdr:from>
    <xdr:ext cx="1184683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DACE146B-38BA-4AD0-84D4-6157EEE8FD2F}"/>
                </a:ext>
              </a:extLst>
            </xdr:cNvPr>
            <xdr:cNvSpPr txBox="1"/>
          </xdr:nvSpPr>
          <xdr:spPr>
            <a:xfrm>
              <a:off x="2390775" y="63112650"/>
              <a:ext cx="1184683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Q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m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.</m:t>
                    </m:r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c</m:t>
                    </m:r>
                    <m:r>
                      <a:rPr lang="es-MX" sz="1800" b="0" i="0">
                        <a:latin typeface="Cambria Math" panose="02040503050406030204" pitchFamily="18" charset="0"/>
                      </a:rPr>
                      <m:t>.</m:t>
                    </m:r>
                    <m:r>
                      <m:rPr>
                        <m:sty m:val="p"/>
                      </m:rPr>
                      <a:rPr lang="es-419" sz="18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Δ</m:t>
                    </m:r>
                    <m:r>
                      <m:rPr>
                        <m:sty m:val="p"/>
                      </m:rPr>
                      <a:rPr lang="es-MX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t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DACE146B-38BA-4AD0-84D4-6157EEE8FD2F}"/>
                </a:ext>
              </a:extLst>
            </xdr:cNvPr>
            <xdr:cNvSpPr txBox="1"/>
          </xdr:nvSpPr>
          <xdr:spPr>
            <a:xfrm>
              <a:off x="2390775" y="63112650"/>
              <a:ext cx="1184683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Q=m.c.</a:t>
              </a:r>
              <a:r>
                <a:rPr lang="es-419" sz="1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3</xdr:col>
      <xdr:colOff>0</xdr:colOff>
      <xdr:row>290</xdr:row>
      <xdr:rowOff>0</xdr:rowOff>
    </xdr:from>
    <xdr:ext cx="2313839" cy="5648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FF2DC7F0-DA99-40DA-B63B-B79018202576}"/>
                </a:ext>
              </a:extLst>
            </xdr:cNvPr>
            <xdr:cNvSpPr txBox="1"/>
          </xdr:nvSpPr>
          <xdr:spPr>
            <a:xfrm>
              <a:off x="2390775" y="64293750"/>
              <a:ext cx="2313839" cy="564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MX" sz="2000" b="0" i="1">
                      <a:latin typeface="Cambria Math" panose="02040503050406030204" pitchFamily="18" charset="0"/>
                    </a:rPr>
                    <m:t>Q</m:t>
                  </m:r>
                  <m:r>
                    <a:rPr lang="es-MX" sz="20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s-MX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s-MX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20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s-MX" sz="2000" b="0" i="1">
                              <a:latin typeface="Cambria Math" panose="02040503050406030204" pitchFamily="18" charset="0"/>
                            </a:rPr>
                            <m:t>g</m:t>
                          </m:r>
                        </m:sub>
                      </m:sSub>
                    </m:e>
                  </m:d>
                  <m:r>
                    <a:rPr lang="es-MX" sz="2000" b="0" i="1">
                      <a:latin typeface="Cambria Math" panose="02040503050406030204" pitchFamily="18" charset="0"/>
                    </a:rPr>
                    <m:t>⋅</m:t>
                  </m:r>
                  <m:d>
                    <m:dPr>
                      <m:ctrlPr>
                        <a:rPr lang="es-MX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20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2000" b="0" i="1">
                              <a:latin typeface="Cambria Math" panose="02040503050406030204" pitchFamily="18" charset="0"/>
                            </a:rPr>
                            <m:t>𝐽</m:t>
                          </m:r>
                        </m:num>
                        <m:den>
                          <m:sSub>
                            <m:sSubPr>
                              <m:ctrlPr>
                                <a:rPr lang="es-MX" sz="20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MX" sz="2000" b="0" i="1">
                                  <a:latin typeface="Cambria Math" panose="02040503050406030204" pitchFamily="18" charset="0"/>
                                </a:rPr>
                                <m:t>𝑘</m:t>
                              </m:r>
                            </m:e>
                            <m:sub>
                              <m:r>
                                <m:rPr>
                                  <m:sty m:val="p"/>
                                </m:rPr>
                                <a:rPr lang="es-MX" sz="2000" b="0" i="1">
                                  <a:latin typeface="Cambria Math" panose="02040503050406030204" pitchFamily="18" charset="0"/>
                                </a:rPr>
                                <m:t>g</m:t>
                              </m:r>
                            </m:sub>
                          </m:sSub>
                          <m:r>
                            <a:rPr lang="es-MX" sz="2000" b="0" i="1">
                              <a:latin typeface="Cambria Math" panose="02040503050406030204" pitchFamily="18" charset="0"/>
                            </a:rPr>
                            <m:t>. °</m:t>
                          </m:r>
                          <m:r>
                            <m:rPr>
                              <m:sty m:val="p"/>
                            </m:rPr>
                            <a:rPr lang="es-MX" sz="2000" b="0" i="1">
                              <a:latin typeface="Cambria Math" panose="02040503050406030204" pitchFamily="18" charset="0"/>
                            </a:rPr>
                            <m:t>C</m:t>
                          </m:r>
                        </m:den>
                      </m:f>
                    </m:e>
                  </m:d>
                </m:oMath>
              </a14:m>
              <a:r>
                <a:rPr lang="es-419" sz="2000"/>
                <a:t>.(°C)</a:t>
              </a:r>
            </a:p>
          </xdr:txBody>
        </xdr:sp>
      </mc:Choice>
      <mc:Fallback xmlns="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FF2DC7F0-DA99-40DA-B63B-B79018202576}"/>
                </a:ext>
              </a:extLst>
            </xdr:cNvPr>
            <xdr:cNvSpPr txBox="1"/>
          </xdr:nvSpPr>
          <xdr:spPr>
            <a:xfrm>
              <a:off x="2390775" y="64293750"/>
              <a:ext cx="2313839" cy="5648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b="0" i="0">
                  <a:latin typeface="Cambria Math" panose="02040503050406030204" pitchFamily="18" charset="0"/>
                </a:rPr>
                <a:t>Q=(𝑘_g )⋅(𝐽/(𝑘_g. °C))</a:t>
              </a:r>
              <a:r>
                <a:rPr lang="es-419" sz="2000"/>
                <a:t>.(°C)</a:t>
              </a:r>
            </a:p>
          </xdr:txBody>
        </xdr:sp>
      </mc:Fallback>
    </mc:AlternateContent>
    <xdr:clientData/>
  </xdr:oneCellAnchor>
  <xdr:oneCellAnchor>
    <xdr:from>
      <xdr:col>3</xdr:col>
      <xdr:colOff>0</xdr:colOff>
      <xdr:row>296</xdr:row>
      <xdr:rowOff>0</xdr:rowOff>
    </xdr:from>
    <xdr:ext cx="2095445" cy="492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6061F38B-C0CE-4B4C-A960-FECE61EB1211}"/>
                </a:ext>
              </a:extLst>
            </xdr:cNvPr>
            <xdr:cNvSpPr txBox="1"/>
          </xdr:nvSpPr>
          <xdr:spPr>
            <a:xfrm>
              <a:off x="2390775" y="65512950"/>
              <a:ext cx="2095445" cy="492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MX" sz="2000" b="0" i="1">
                      <a:latin typeface="Cambria Math" panose="02040503050406030204" pitchFamily="18" charset="0"/>
                    </a:rPr>
                    <m:t>Q</m:t>
                  </m:r>
                  <m:r>
                    <a:rPr lang="es-MX" sz="20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s-MX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m:rPr>
                          <m:sty m:val="p"/>
                        </m:rPr>
                        <a:rPr lang="es-MX" sz="2000" b="0" i="1">
                          <a:latin typeface="Cambria Math" panose="02040503050406030204" pitchFamily="18" charset="0"/>
                        </a:rPr>
                        <m:t>g</m:t>
                      </m:r>
                    </m:e>
                  </m:d>
                  <m:r>
                    <a:rPr lang="es-MX" sz="2000" b="0" i="1">
                      <a:latin typeface="Cambria Math" panose="02040503050406030204" pitchFamily="18" charset="0"/>
                    </a:rPr>
                    <m:t>⋅</m:t>
                  </m:r>
                  <m:d>
                    <m:dPr>
                      <m:ctrlPr>
                        <a:rPr lang="es-MX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20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2000" b="0" i="1">
                              <a:latin typeface="Cambria Math" panose="02040503050406030204" pitchFamily="18" charset="0"/>
                            </a:rPr>
                            <m:t>𝐽</m:t>
                          </m:r>
                        </m:num>
                        <m:den>
                          <m:r>
                            <m:rPr>
                              <m:sty m:val="p"/>
                            </m:rPr>
                            <a:rPr lang="es-MX" sz="2000" b="0" i="1">
                              <a:latin typeface="Cambria Math" panose="02040503050406030204" pitchFamily="18" charset="0"/>
                            </a:rPr>
                            <m:t>g</m:t>
                          </m:r>
                          <m:r>
                            <a:rPr lang="es-MX" sz="2000" b="0" i="1">
                              <a:latin typeface="Cambria Math" panose="02040503050406030204" pitchFamily="18" charset="0"/>
                            </a:rPr>
                            <m:t> . °</m:t>
                          </m:r>
                          <m:r>
                            <m:rPr>
                              <m:sty m:val="p"/>
                            </m:rPr>
                            <a:rPr lang="es-MX" sz="2000" b="0" i="1">
                              <a:latin typeface="Cambria Math" panose="02040503050406030204" pitchFamily="18" charset="0"/>
                            </a:rPr>
                            <m:t>C</m:t>
                          </m:r>
                        </m:den>
                      </m:f>
                    </m:e>
                  </m:d>
                </m:oMath>
              </a14:m>
              <a:r>
                <a:rPr lang="es-419" sz="2000"/>
                <a:t>.(°C)</a:t>
              </a:r>
            </a:p>
          </xdr:txBody>
        </xdr:sp>
      </mc:Choice>
      <mc:Fallback xmlns="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6061F38B-C0CE-4B4C-A960-FECE61EB1211}"/>
                </a:ext>
              </a:extLst>
            </xdr:cNvPr>
            <xdr:cNvSpPr txBox="1"/>
          </xdr:nvSpPr>
          <xdr:spPr>
            <a:xfrm>
              <a:off x="2390775" y="65512950"/>
              <a:ext cx="2095445" cy="492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b="0" i="0">
                  <a:latin typeface="Cambria Math" panose="02040503050406030204" pitchFamily="18" charset="0"/>
                </a:rPr>
                <a:t>Q=(g)⋅(𝐽/(g . °C))</a:t>
              </a:r>
              <a:r>
                <a:rPr lang="es-419" sz="2000"/>
                <a:t>.(°C)</a:t>
              </a:r>
            </a:p>
          </xdr:txBody>
        </xdr:sp>
      </mc:Fallback>
    </mc:AlternateContent>
    <xdr:clientData/>
  </xdr:oneCellAnchor>
  <xdr:oneCellAnchor>
    <xdr:from>
      <xdr:col>3</xdr:col>
      <xdr:colOff>0</xdr:colOff>
      <xdr:row>300</xdr:row>
      <xdr:rowOff>0</xdr:rowOff>
    </xdr:from>
    <xdr:ext cx="714555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8102780B-B3F4-4D6F-8D9A-106C3DE72E70}"/>
                </a:ext>
              </a:extLst>
            </xdr:cNvPr>
            <xdr:cNvSpPr txBox="1"/>
          </xdr:nvSpPr>
          <xdr:spPr>
            <a:xfrm>
              <a:off x="2390775" y="66274950"/>
              <a:ext cx="714555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Q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= </m:t>
                    </m:r>
                    <m:r>
                      <m:rPr>
                        <m:sty m:val="p"/>
                      </m:rPr>
                      <a:rPr lang="es-MX" sz="2000" b="0" i="1">
                        <a:latin typeface="Cambria Math" panose="02040503050406030204" pitchFamily="18" charset="0"/>
                      </a:rPr>
                      <m:t>J</m:t>
                    </m:r>
                  </m:oMath>
                </m:oMathPara>
              </a14:m>
              <a:endParaRPr lang="es-419" sz="2000"/>
            </a:p>
          </xdr:txBody>
        </xdr:sp>
      </mc:Choice>
      <mc:Fallback xmlns=""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8102780B-B3F4-4D6F-8D9A-106C3DE72E70}"/>
                </a:ext>
              </a:extLst>
            </xdr:cNvPr>
            <xdr:cNvSpPr txBox="1"/>
          </xdr:nvSpPr>
          <xdr:spPr>
            <a:xfrm>
              <a:off x="2390775" y="66274950"/>
              <a:ext cx="714555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b="0" i="0">
                  <a:latin typeface="Cambria Math" panose="02040503050406030204" pitchFamily="18" charset="0"/>
                </a:rPr>
                <a:t>Q= J</a:t>
              </a:r>
              <a:endParaRPr lang="es-419" sz="2000"/>
            </a:p>
          </xdr:txBody>
        </xdr:sp>
      </mc:Fallback>
    </mc:AlternateContent>
    <xdr:clientData/>
  </xdr:oneCellAnchor>
  <xdr:oneCellAnchor>
    <xdr:from>
      <xdr:col>7</xdr:col>
      <xdr:colOff>885825</xdr:colOff>
      <xdr:row>299</xdr:row>
      <xdr:rowOff>66675</xdr:rowOff>
    </xdr:from>
    <xdr:ext cx="1590675" cy="4840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67383806-E409-47B2-94FE-58AB48108335}"/>
                </a:ext>
              </a:extLst>
            </xdr:cNvPr>
            <xdr:cNvSpPr txBox="1"/>
          </xdr:nvSpPr>
          <xdr:spPr>
            <a:xfrm>
              <a:off x="7448550" y="66608325"/>
              <a:ext cx="1590675" cy="484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400" b="0" i="1">
                        <a:latin typeface="Cambria Math" panose="02040503050406030204" pitchFamily="18" charset="0"/>
                      </a:rPr>
                      <m:t>c</m:t>
                    </m:r>
                    <m:r>
                      <a:rPr lang="es-MX" sz="1400" b="0" i="1">
                        <a:latin typeface="Cambria Math" panose="02040503050406030204" pitchFamily="18" charset="0"/>
                      </a:rPr>
                      <m:t>=4.18⋅</m:t>
                    </m:r>
                    <m:d>
                      <m:d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𝐽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es-MX" sz="1400" b="0" i="1">
                                <a:latin typeface="Cambria Math" panose="02040503050406030204" pitchFamily="18" charset="0"/>
                              </a:rPr>
                              <m:t>g</m:t>
                            </m:r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 . °</m:t>
                            </m:r>
                            <m:r>
                              <m:rPr>
                                <m:sty m:val="p"/>
                              </m:rPr>
                              <a:rPr lang="es-MX" sz="1400" b="0" i="1">
                                <a:latin typeface="Cambria Math" panose="02040503050406030204" pitchFamily="18" charset="0"/>
                              </a:rPr>
                              <m:t>C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419" sz="1400"/>
            </a:p>
          </xdr:txBody>
        </xdr:sp>
      </mc:Choice>
      <mc:Fallback xmlns=""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67383806-E409-47B2-94FE-58AB48108335}"/>
                </a:ext>
              </a:extLst>
            </xdr:cNvPr>
            <xdr:cNvSpPr txBox="1"/>
          </xdr:nvSpPr>
          <xdr:spPr>
            <a:xfrm>
              <a:off x="7448550" y="66608325"/>
              <a:ext cx="1590675" cy="484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400" b="0" i="0">
                  <a:latin typeface="Cambria Math" panose="02040503050406030204" pitchFamily="18" charset="0"/>
                </a:rPr>
                <a:t>c=4.18⋅(𝐽/(g . °C))</a:t>
              </a:r>
              <a:endParaRPr lang="es-419" sz="1400"/>
            </a:p>
          </xdr:txBody>
        </xdr:sp>
      </mc:Fallback>
    </mc:AlternateContent>
    <xdr:clientData/>
  </xdr:oneCellAnchor>
  <xdr:oneCellAnchor>
    <xdr:from>
      <xdr:col>8</xdr:col>
      <xdr:colOff>0</xdr:colOff>
      <xdr:row>304</xdr:row>
      <xdr:rowOff>0</xdr:rowOff>
    </xdr:from>
    <xdr:ext cx="1463606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CuadroTexto 48">
              <a:extLst>
                <a:ext uri="{FF2B5EF4-FFF2-40B4-BE49-F238E27FC236}">
                  <a16:creationId xmlns:a16="http://schemas.microsoft.com/office/drawing/2014/main" id="{6D0694B3-5CB8-4D36-B3A2-4E8B7D35A366}"/>
                </a:ext>
              </a:extLst>
            </xdr:cNvPr>
            <xdr:cNvSpPr txBox="1"/>
          </xdr:nvSpPr>
          <xdr:spPr>
            <a:xfrm>
              <a:off x="7553325" y="67265550"/>
              <a:ext cx="1463606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90−20=70 °</m:t>
                    </m:r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C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49" name="CuadroTexto 48">
              <a:extLst>
                <a:ext uri="{FF2B5EF4-FFF2-40B4-BE49-F238E27FC236}">
                  <a16:creationId xmlns:a16="http://schemas.microsoft.com/office/drawing/2014/main" id="{6D0694B3-5CB8-4D36-B3A2-4E8B7D35A366}"/>
                </a:ext>
              </a:extLst>
            </xdr:cNvPr>
            <xdr:cNvSpPr txBox="1"/>
          </xdr:nvSpPr>
          <xdr:spPr>
            <a:xfrm>
              <a:off x="7553325" y="67265550"/>
              <a:ext cx="1463606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90-20=70 °C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8</xdr:col>
      <xdr:colOff>0</xdr:colOff>
      <xdr:row>306</xdr:row>
      <xdr:rowOff>0</xdr:rowOff>
    </xdr:from>
    <xdr:ext cx="189834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uadroTexto 49">
              <a:extLst>
                <a:ext uri="{FF2B5EF4-FFF2-40B4-BE49-F238E27FC236}">
                  <a16:creationId xmlns:a16="http://schemas.microsoft.com/office/drawing/2014/main" id="{CFB1B3D6-8422-46AF-B42B-E94F8016341E}"/>
                </a:ext>
              </a:extLst>
            </xdr:cNvPr>
            <xdr:cNvSpPr txBox="1"/>
          </xdr:nvSpPr>
          <xdr:spPr>
            <a:xfrm>
              <a:off x="7553325" y="68179950"/>
              <a:ext cx="189834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Q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=2000</m:t>
                    </m:r>
                    <m:r>
                      <a:rPr lang="es-MX" sz="1800" b="0" i="0">
                        <a:latin typeface="Cambria Math" panose="02040503050406030204" pitchFamily="18" charset="0"/>
                      </a:rPr>
                      <m:t>∗4.18∗70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50" name="CuadroTexto 49">
              <a:extLst>
                <a:ext uri="{FF2B5EF4-FFF2-40B4-BE49-F238E27FC236}">
                  <a16:creationId xmlns:a16="http://schemas.microsoft.com/office/drawing/2014/main" id="{CFB1B3D6-8422-46AF-B42B-E94F8016341E}"/>
                </a:ext>
              </a:extLst>
            </xdr:cNvPr>
            <xdr:cNvSpPr txBox="1"/>
          </xdr:nvSpPr>
          <xdr:spPr>
            <a:xfrm>
              <a:off x="7553325" y="68179950"/>
              <a:ext cx="189834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Q=2000*4.18*70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8</xdr:col>
      <xdr:colOff>0</xdr:colOff>
      <xdr:row>309</xdr:row>
      <xdr:rowOff>0</xdr:rowOff>
    </xdr:from>
    <xdr:ext cx="1392048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EA6AAC02-75C8-47CF-A948-AB64248401DB}"/>
                </a:ext>
              </a:extLst>
            </xdr:cNvPr>
            <xdr:cNvSpPr txBox="1"/>
          </xdr:nvSpPr>
          <xdr:spPr>
            <a:xfrm>
              <a:off x="7553325" y="68751450"/>
              <a:ext cx="139204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Q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=585200 </m:t>
                    </m:r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J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EA6AAC02-75C8-47CF-A948-AB64248401DB}"/>
                </a:ext>
              </a:extLst>
            </xdr:cNvPr>
            <xdr:cNvSpPr txBox="1"/>
          </xdr:nvSpPr>
          <xdr:spPr>
            <a:xfrm>
              <a:off x="7553325" y="68751450"/>
              <a:ext cx="139204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Q=585200 J</a:t>
              </a:r>
              <a:endParaRPr lang="es-419" sz="1800"/>
            </a:p>
          </xdr:txBody>
        </xdr:sp>
      </mc:Fallback>
    </mc:AlternateContent>
    <xdr:clientData/>
  </xdr:oneCellAnchor>
  <xdr:oneCellAnchor>
    <xdr:from>
      <xdr:col>7</xdr:col>
      <xdr:colOff>47625</xdr:colOff>
      <xdr:row>311</xdr:row>
      <xdr:rowOff>161925</xdr:rowOff>
    </xdr:from>
    <xdr:ext cx="1430776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1367CFD7-73FB-47F4-8F90-C903FF2E0C92}"/>
                </a:ext>
              </a:extLst>
            </xdr:cNvPr>
            <xdr:cNvSpPr txBox="1"/>
          </xdr:nvSpPr>
          <xdr:spPr>
            <a:xfrm>
              <a:off x="6610350" y="69370575"/>
              <a:ext cx="1430776" cy="281808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Q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=585.2  </m:t>
                    </m:r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K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MX" sz="1800" b="0" i="1">
                        <a:latin typeface="Cambria Math" panose="02040503050406030204" pitchFamily="18" charset="0"/>
                      </a:rPr>
                      <m:t>J</m:t>
                    </m:r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1367CFD7-73FB-47F4-8F90-C903FF2E0C92}"/>
                </a:ext>
              </a:extLst>
            </xdr:cNvPr>
            <xdr:cNvSpPr txBox="1"/>
          </xdr:nvSpPr>
          <xdr:spPr>
            <a:xfrm>
              <a:off x="6610350" y="69370575"/>
              <a:ext cx="1430776" cy="281808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Q=585.2  K J</a:t>
              </a:r>
              <a:endParaRPr lang="es-419" sz="18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5</xdr:row>
      <xdr:rowOff>114300</xdr:rowOff>
    </xdr:from>
    <xdr:to>
      <xdr:col>5</xdr:col>
      <xdr:colOff>568115</xdr:colOff>
      <xdr:row>7</xdr:row>
      <xdr:rowOff>134140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33F798-903F-48F0-AE41-5DF27F5BF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0" y="1714500"/>
          <a:ext cx="1996865" cy="40084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13</xdr:row>
      <xdr:rowOff>257174</xdr:rowOff>
    </xdr:from>
    <xdr:to>
      <xdr:col>10</xdr:col>
      <xdr:colOff>702784</xdr:colOff>
      <xdr:row>39</xdr:row>
      <xdr:rowOff>180974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029CE9EA-0EBC-F3F2-7DFB-D8D14743B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725" y="3457574"/>
          <a:ext cx="6713059" cy="4962525"/>
        </a:xfrm>
        <a:prstGeom prst="rect">
          <a:avLst/>
        </a:prstGeom>
      </xdr:spPr>
    </xdr:pic>
    <xdr:clientData/>
  </xdr:twoCellAnchor>
  <xdr:oneCellAnchor>
    <xdr:from>
      <xdr:col>6</xdr:col>
      <xdr:colOff>485775</xdr:colOff>
      <xdr:row>42</xdr:row>
      <xdr:rowOff>19050</xdr:rowOff>
    </xdr:from>
    <xdr:ext cx="100965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10C06F6-DE6E-4D06-90DA-37F5E3A43B6F}"/>
                </a:ext>
              </a:extLst>
            </xdr:cNvPr>
            <xdr:cNvSpPr txBox="1"/>
          </xdr:nvSpPr>
          <xdr:spPr>
            <a:xfrm>
              <a:off x="5057775" y="8820150"/>
              <a:ext cx="10096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8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s-MX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s-419" sz="18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10C06F6-DE6E-4D06-90DA-37F5E3A43B6F}"/>
                </a:ext>
              </a:extLst>
            </xdr:cNvPr>
            <xdr:cNvSpPr txBox="1"/>
          </xdr:nvSpPr>
          <xdr:spPr>
            <a:xfrm>
              <a:off x="5057775" y="8820150"/>
              <a:ext cx="10096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H_2</a:t>
              </a:r>
              <a:endParaRPr lang="es-419" sz="1800"/>
            </a:p>
          </xdr:txBody>
        </xdr:sp>
      </mc:Fallback>
    </mc:AlternateContent>
    <xdr:clientData/>
  </xdr:oneCellAnchor>
  <xdr:twoCellAnchor editAs="oneCell">
    <xdr:from>
      <xdr:col>2</xdr:col>
      <xdr:colOff>0</xdr:colOff>
      <xdr:row>53</xdr:row>
      <xdr:rowOff>0</xdr:rowOff>
    </xdr:from>
    <xdr:to>
      <xdr:col>8</xdr:col>
      <xdr:colOff>523875</xdr:colOff>
      <xdr:row>59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CB83AB-82A2-D05F-2C26-F9B3E4971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1839"/>
        <a:stretch>
          <a:fillRect/>
        </a:stretch>
      </xdr:blipFill>
      <xdr:spPr>
        <a:xfrm>
          <a:off x="1524000" y="11582400"/>
          <a:ext cx="5095875" cy="1295400"/>
        </a:xfrm>
        <a:prstGeom prst="rect">
          <a:avLst/>
        </a:prstGeom>
      </xdr:spPr>
    </xdr:pic>
    <xdr:clientData/>
  </xdr:twoCellAnchor>
  <xdr:oneCellAnchor>
    <xdr:from>
      <xdr:col>1</xdr:col>
      <xdr:colOff>761999</xdr:colOff>
      <xdr:row>62</xdr:row>
      <xdr:rowOff>0</xdr:rowOff>
    </xdr:from>
    <xdr:ext cx="6200775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2275472-DF94-4DDD-8B62-BBE5A60E8D14}"/>
                </a:ext>
              </a:extLst>
            </xdr:cNvPr>
            <xdr:cNvSpPr txBox="1"/>
          </xdr:nvSpPr>
          <xdr:spPr>
            <a:xfrm>
              <a:off x="1523999" y="13373100"/>
              <a:ext cx="6200775" cy="28180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s-MX" sz="18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El</m:t>
                  </m:r>
                  <m:r>
                    <m:rPr>
                      <m:nor/>
                    </m:rPr>
                    <a:rPr lang="es-MX" sz="18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s-419" sz="180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C</m:t>
                  </m:r>
                  <m:r>
                    <a:rPr lang="es-MX" sz="1800" b="0" i="1"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s-419" sz="18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800" b="0" i="1">
                          <a:latin typeface="Cambria Math" panose="02040503050406030204" pitchFamily="18" charset="0"/>
                        </a:rPr>
                        <m:t>O</m:t>
                      </m:r>
                    </m:e>
                    <m:sub>
                      <m:r>
                        <a:rPr lang="es-MX" sz="1800" b="0" i="1">
                          <a:latin typeface="Cambria Math" panose="02040503050406030204" pitchFamily="18" charset="0"/>
                        </a:rPr>
                        <m:t>2  </m:t>
                      </m:r>
                    </m:sub>
                  </m:sSub>
                </m:oMath>
              </a14:m>
              <a:r>
                <a:rPr lang="es-419" sz="1800"/>
                <a:t> y  el </a:t>
              </a:r>
              <a14:m>
                <m:oMath xmlns:m="http://schemas.openxmlformats.org/officeDocument/2006/math">
                  <m:sSub>
                    <m:sSubPr>
                      <m:ctrlPr>
                        <a:rPr lang="es-419" sz="18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419" sz="18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s-419" sz="1800" i="0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m:rPr>
                      <m:sty m:val="p"/>
                    </m:rPr>
                    <a:rPr lang="es-MX" sz="1800" b="0" i="0">
                      <a:latin typeface="Cambria Math" panose="02040503050406030204" pitchFamily="18" charset="0"/>
                    </a:rPr>
                    <m:t>O</m:t>
                  </m:r>
                </m:oMath>
              </a14:m>
              <a:r>
                <a:rPr lang="es-419" sz="1800"/>
                <a:t> </a:t>
              </a:r>
              <a:r>
                <a:rPr lang="es-419" sz="1800" baseline="0"/>
                <a:t> son muchísimo mas estables que el metanol</a:t>
              </a:r>
              <a:endParaRPr lang="es-419" sz="18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2275472-DF94-4DDD-8B62-BBE5A60E8D14}"/>
                </a:ext>
              </a:extLst>
            </xdr:cNvPr>
            <xdr:cNvSpPr txBox="1"/>
          </xdr:nvSpPr>
          <xdr:spPr>
            <a:xfrm>
              <a:off x="1523999" y="13373100"/>
              <a:ext cx="6200775" cy="28180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419" sz="1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El </a:t>
              </a:r>
              <a:r>
                <a:rPr lang="es-419" sz="1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s-MX" sz="1800" b="0" i="0">
                  <a:latin typeface="Cambria Math" panose="02040503050406030204" pitchFamily="18" charset="0"/>
                </a:rPr>
                <a:t> O</a:t>
              </a:r>
              <a:r>
                <a:rPr lang="es-419" sz="1800" b="0" i="0">
                  <a:latin typeface="Cambria Math" panose="02040503050406030204" pitchFamily="18" charset="0"/>
                </a:rPr>
                <a:t>_(</a:t>
              </a:r>
              <a:r>
                <a:rPr lang="es-MX" sz="1800" b="0" i="0">
                  <a:latin typeface="Cambria Math" panose="02040503050406030204" pitchFamily="18" charset="0"/>
                </a:rPr>
                <a:t>2  </a:t>
              </a:r>
              <a:r>
                <a:rPr lang="es-419" sz="1800" b="0" i="0">
                  <a:latin typeface="Cambria Math" panose="02040503050406030204" pitchFamily="18" charset="0"/>
                </a:rPr>
                <a:t>)</a:t>
              </a:r>
              <a:r>
                <a:rPr lang="es-419" sz="1800"/>
                <a:t> y  el </a:t>
              </a:r>
              <a:r>
                <a:rPr lang="es-419" sz="1800" i="0">
                  <a:latin typeface="Cambria Math" panose="02040503050406030204" pitchFamily="18" charset="0"/>
                </a:rPr>
                <a:t>𝐻_2</a:t>
              </a:r>
              <a:r>
                <a:rPr lang="es-MX" sz="1800" b="0" i="0">
                  <a:latin typeface="Cambria Math" panose="02040503050406030204" pitchFamily="18" charset="0"/>
                </a:rPr>
                <a:t> O</a:t>
              </a:r>
              <a:r>
                <a:rPr lang="es-419" sz="1800"/>
                <a:t> </a:t>
              </a:r>
              <a:r>
                <a:rPr lang="es-419" sz="1800" baseline="0"/>
                <a:t> son muchísimo mas estables que el metanol</a:t>
              </a:r>
              <a:endParaRPr lang="es-419" sz="18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17</xdr:row>
      <xdr:rowOff>185737</xdr:rowOff>
    </xdr:from>
    <xdr:ext cx="3680879" cy="3000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8375290-5EA8-E5AC-539A-225C16BB6BE2}"/>
                </a:ext>
              </a:extLst>
            </xdr:cNvPr>
            <xdr:cNvSpPr txBox="1"/>
          </xdr:nvSpPr>
          <xdr:spPr>
            <a:xfrm>
              <a:off x="895350" y="3786187"/>
              <a:ext cx="3680879" cy="3000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s-AR" sz="1600">
                      <a:latin typeface="Cambria Math" panose="02040503050406030204" pitchFamily="18" charset="0"/>
                    </a:rPr>
                    <m:t>Δ</m:t>
                  </m:r>
                  <m:sSup>
                    <m:sSupPr>
                      <m:ctrlPr>
                        <a:rPr lang="es-AR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AR" sz="160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p>
                      <m:r>
                        <a:rPr lang="es-AR" sz="1600" i="0">
                          <a:latin typeface="Cambria Math" panose="02040503050406030204" pitchFamily="18" charset="0"/>
                        </a:rPr>
                        <m:t>0</m:t>
                      </m:r>
                    </m:sup>
                  </m:sSup>
                  <m:r>
                    <a:rPr lang="es-AR" sz="1600" i="0">
                      <a:latin typeface="Cambria Math" panose="02040503050406030204" pitchFamily="18" charset="0"/>
                    </a:rPr>
                    <m:t>=</m:t>
                  </m:r>
                  <m:r>
                    <a:rPr lang="es-AR" sz="1600" i="1">
                      <a:latin typeface="Cambria Math" panose="02040503050406030204" pitchFamily="18" charset="0"/>
                    </a:rPr>
                    <m:t>𝛴</m:t>
                  </m:r>
                  <m:r>
                    <m:rPr>
                      <m:sty m:val="p"/>
                    </m:rPr>
                    <a:rPr lang="es-AR" sz="16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Δ</m:t>
                  </m:r>
                  <m:sSubSup>
                    <m:sSubSupPr>
                      <m:ctrlP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</m:sub>
                    <m:sup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p>
                  </m:sSubSup>
                </m:oMath>
              </a14:m>
              <a:r>
                <a:rPr lang="es-AR" sz="1600"/>
                <a:t>(productos) - </a:t>
              </a:r>
              <a14:m>
                <m:oMath xmlns:m="http://schemas.openxmlformats.org/officeDocument/2006/math">
                  <m:r>
                    <a:rPr lang="es-AR" sz="16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𝛴</m:t>
                  </m:r>
                  <m:r>
                    <m:rPr>
                      <m:sty m:val="p"/>
                    </m:rPr>
                    <a:rPr lang="es-AR" sz="16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Δ</m:t>
                  </m:r>
                  <m:sSubSup>
                    <m:sSubSupPr>
                      <m:ctrlP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</m:e>
                    <m:sub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</m:sub>
                    <m:sup>
                      <m:r>
                        <a:rPr lang="es-AR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p>
                  </m:sSubSup>
                </m:oMath>
              </a14:m>
              <a:r>
                <a:rPr lang="es-A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(reactivos)</a:t>
              </a:r>
              <a:r>
                <a:rPr lang="es-AR" sz="1600"/>
                <a:t> </a:t>
              </a: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8375290-5EA8-E5AC-539A-225C16BB6BE2}"/>
                </a:ext>
              </a:extLst>
            </xdr:cNvPr>
            <xdr:cNvSpPr txBox="1"/>
          </xdr:nvSpPr>
          <xdr:spPr>
            <a:xfrm>
              <a:off x="895350" y="3786187"/>
              <a:ext cx="3680879" cy="3000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600" i="0">
                  <a:latin typeface="Cambria Math" panose="02040503050406030204" pitchFamily="18" charset="0"/>
                </a:rPr>
                <a:t>Δ𝐻^0=𝛴</a:t>
              </a:r>
              <a:r>
                <a:rPr lang="es-AR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Δ𝐻_𝑓^0</a:t>
              </a:r>
              <a:r>
                <a:rPr lang="es-AR" sz="1600"/>
                <a:t>(productos) - </a:t>
              </a:r>
              <a:r>
                <a:rPr lang="es-AR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𝛴Δ𝐻_𝑓^0</a:t>
              </a:r>
              <a:r>
                <a:rPr lang="es-A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(reactivos)</a:t>
              </a:r>
              <a:r>
                <a:rPr lang="es-AR" sz="1600"/>
                <a:t> </a:t>
              </a:r>
            </a:p>
          </xdr:txBody>
        </xdr:sp>
      </mc:Fallback>
    </mc:AlternateContent>
    <xdr:clientData/>
  </xdr:oneCellAnchor>
  <xdr:twoCellAnchor editAs="oneCell">
    <xdr:from>
      <xdr:col>6</xdr:col>
      <xdr:colOff>159995</xdr:colOff>
      <xdr:row>0</xdr:row>
      <xdr:rowOff>190499</xdr:rowOff>
    </xdr:from>
    <xdr:to>
      <xdr:col>12</xdr:col>
      <xdr:colOff>604706</xdr:colOff>
      <xdr:row>12</xdr:row>
      <xdr:rowOff>152399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1F86A9-B610-400C-B9C3-CC9149A11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1995" y="190499"/>
          <a:ext cx="5016711" cy="2619375"/>
        </a:xfrm>
        <a:prstGeom prst="rect">
          <a:avLst/>
        </a:prstGeom>
      </xdr:spPr>
    </xdr:pic>
    <xdr:clientData/>
  </xdr:twoCellAnchor>
  <xdr:oneCellAnchor>
    <xdr:from>
      <xdr:col>1</xdr:col>
      <xdr:colOff>161925</xdr:colOff>
      <xdr:row>39</xdr:row>
      <xdr:rowOff>42862</xdr:rowOff>
    </xdr:from>
    <xdr:ext cx="1515736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E2B3C6D-8D6E-5362-208C-860F744E0FA2}"/>
                </a:ext>
              </a:extLst>
            </xdr:cNvPr>
            <xdr:cNvSpPr txBox="1"/>
          </xdr:nvSpPr>
          <xdr:spPr>
            <a:xfrm>
              <a:off x="923925" y="8291512"/>
              <a:ext cx="1515736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60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s-AR" sz="16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s-AR" sz="160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AR" sz="1600" i="0"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begChr m:val="|"/>
                        <m:endChr m:val="|"/>
                        <m:ctrlPr>
                          <a:rPr lang="es-AR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s-AR" sz="1600" i="0">
                            <a:latin typeface="Cambria Math" panose="02040503050406030204" pitchFamily="18" charset="0"/>
                          </a:rPr>
                          <m:t>Δ</m:t>
                        </m:r>
                        <m:sSub>
                          <m:sSubPr>
                            <m:ctrlPr>
                              <a:rPr lang="es-AR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AR" sz="160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b>
                            <m:r>
                              <a:rPr lang="es-AR" sz="160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  <m:r>
                              <a:rPr lang="es-AR" sz="1600" b="0" i="1">
                                <a:latin typeface="Cambria Math" panose="02040503050406030204" pitchFamily="18" charset="0"/>
                              </a:rPr>
                              <m:t>𝑜𝑚𝑏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AR" sz="16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E2B3C6D-8D6E-5362-208C-860F744E0FA2}"/>
                </a:ext>
              </a:extLst>
            </xdr:cNvPr>
            <xdr:cNvSpPr txBox="1"/>
          </xdr:nvSpPr>
          <xdr:spPr>
            <a:xfrm>
              <a:off x="923925" y="8291512"/>
              <a:ext cx="1515736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600" i="0">
                  <a:latin typeface="Cambria Math" panose="02040503050406030204" pitchFamily="18" charset="0"/>
                </a:rPr>
                <a:t>𝐸=𝑛⋅|Δ𝐻_𝑐</a:t>
              </a:r>
              <a:r>
                <a:rPr lang="es-AR" sz="1600" b="0" i="0">
                  <a:latin typeface="Cambria Math" panose="02040503050406030204" pitchFamily="18" charset="0"/>
                </a:rPr>
                <a:t>𝑜𝑚𝑏 |</a:t>
              </a:r>
              <a:endParaRPr lang="es-AR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youtube.com/watch?v=Fanxp6PSR00" TargetMode="External"/><Relationship Id="rId1" Type="http://schemas.openxmlformats.org/officeDocument/2006/relationships/hyperlink" Target="https://es.khanacademy.org/science/ap-chemistry-beta/x2eef969c74e0d802:thermodynamics/x2eef969c74e0d802:introduction-to-enthalpy-of-reaction/e/introduction-to-enthalpy-of-react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exactas.uba.ar/popularizacion/semanas-de-las-ciencia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R133"/>
  <sheetViews>
    <sheetView topLeftCell="A29" workbookViewId="0">
      <selection activeCell="K19" sqref="K19"/>
    </sheetView>
  </sheetViews>
  <sheetFormatPr baseColWidth="10" defaultColWidth="9.140625" defaultRowHeight="15" x14ac:dyDescent="0.25"/>
  <cols>
    <col min="1" max="1" width="28" customWidth="1"/>
    <col min="2" max="2" width="18" customWidth="1"/>
    <col min="4" max="4" width="19.42578125" customWidth="1"/>
    <col min="5" max="5" width="19.85546875" customWidth="1"/>
    <col min="6" max="6" width="16.85546875" customWidth="1"/>
    <col min="7" max="7" width="22.140625" customWidth="1"/>
    <col min="8" max="8" width="11.85546875" bestFit="1" customWidth="1"/>
    <col min="10" max="10" width="19.5703125" customWidth="1"/>
    <col min="11" max="11" width="17.42578125" customWidth="1"/>
    <col min="12" max="12" width="12.5703125" customWidth="1"/>
  </cols>
  <sheetData>
    <row r="7" spans="1:5" x14ac:dyDescent="0.25">
      <c r="A7" s="1" t="s">
        <v>0</v>
      </c>
      <c r="B7" s="7" t="s">
        <v>1</v>
      </c>
      <c r="D7" s="2" t="s">
        <v>2</v>
      </c>
      <c r="E7" s="9" t="s">
        <v>3</v>
      </c>
    </row>
    <row r="8" spans="1:5" x14ac:dyDescent="0.25">
      <c r="A8" s="6" t="s">
        <v>4</v>
      </c>
      <c r="B8" s="8">
        <v>3</v>
      </c>
      <c r="D8" t="s">
        <v>4</v>
      </c>
      <c r="E8" s="4">
        <f>B8</f>
        <v>3</v>
      </c>
    </row>
    <row r="9" spans="1:5" x14ac:dyDescent="0.25">
      <c r="A9" s="6" t="s">
        <v>5</v>
      </c>
      <c r="B9" s="8">
        <v>8</v>
      </c>
      <c r="D9" t="s">
        <v>5</v>
      </c>
      <c r="E9" s="4">
        <f>B9</f>
        <v>8</v>
      </c>
    </row>
    <row r="10" spans="1:5" x14ac:dyDescent="0.25">
      <c r="A10" t="s">
        <v>6</v>
      </c>
      <c r="B10" s="4">
        <f>B8/1</f>
        <v>3</v>
      </c>
      <c r="D10" t="s">
        <v>7</v>
      </c>
      <c r="E10" s="4">
        <f>B13</f>
        <v>3</v>
      </c>
    </row>
    <row r="11" spans="1:5" x14ac:dyDescent="0.25">
      <c r="A11" t="s">
        <v>8</v>
      </c>
      <c r="B11" s="4">
        <f>B9/2</f>
        <v>4</v>
      </c>
      <c r="D11" t="s">
        <v>9</v>
      </c>
      <c r="E11" s="4">
        <f>B14</f>
        <v>0</v>
      </c>
    </row>
    <row r="12" spans="1:5" x14ac:dyDescent="0.25">
      <c r="A12" t="s">
        <v>10</v>
      </c>
      <c r="B12" s="4">
        <f>MIN(B10,B11)</f>
        <v>3</v>
      </c>
      <c r="D12" t="s">
        <v>11</v>
      </c>
      <c r="E12" s="4">
        <f>B15</f>
        <v>2</v>
      </c>
    </row>
    <row r="13" spans="1:5" x14ac:dyDescent="0.25">
      <c r="A13" t="s">
        <v>7</v>
      </c>
      <c r="B13" s="4">
        <f>B12*1</f>
        <v>3</v>
      </c>
    </row>
    <row r="14" spans="1:5" x14ac:dyDescent="0.25">
      <c r="A14" t="s">
        <v>9</v>
      </c>
      <c r="B14" s="4">
        <f>B8-B12</f>
        <v>0</v>
      </c>
    </row>
    <row r="15" spans="1:5" x14ac:dyDescent="0.25">
      <c r="A15" t="s">
        <v>11</v>
      </c>
      <c r="B15" s="4">
        <f>B9-(2*B12)</f>
        <v>2</v>
      </c>
    </row>
    <row r="18" spans="1:5" x14ac:dyDescent="0.25">
      <c r="A18" t="s">
        <v>12</v>
      </c>
      <c r="B18" t="s">
        <v>13</v>
      </c>
    </row>
    <row r="19" spans="1:5" x14ac:dyDescent="0.25">
      <c r="D19" s="5" t="s">
        <v>14</v>
      </c>
      <c r="E19" s="5"/>
    </row>
    <row r="20" spans="1:5" x14ac:dyDescent="0.25">
      <c r="D20" s="5" t="s">
        <v>15</v>
      </c>
      <c r="E20" s="120">
        <v>3</v>
      </c>
    </row>
    <row r="21" spans="1:5" ht="15.75" x14ac:dyDescent="0.25">
      <c r="D21" s="125" t="s">
        <v>9</v>
      </c>
      <c r="E21" s="120">
        <v>0</v>
      </c>
    </row>
    <row r="22" spans="1:5" x14ac:dyDescent="0.25">
      <c r="D22" s="5"/>
      <c r="E22" s="120">
        <v>2</v>
      </c>
    </row>
    <row r="23" spans="1:5" s="10" customFormat="1" x14ac:dyDescent="0.25"/>
    <row r="25" spans="1:5" x14ac:dyDescent="0.25">
      <c r="A25" s="11" t="s">
        <v>16</v>
      </c>
    </row>
    <row r="26" spans="1:5" x14ac:dyDescent="0.25">
      <c r="A26" s="3"/>
    </row>
    <row r="27" spans="1:5" x14ac:dyDescent="0.25">
      <c r="A27" s="3" t="s">
        <v>17</v>
      </c>
    </row>
    <row r="28" spans="1:5" x14ac:dyDescent="0.25">
      <c r="A28" s="3" t="s">
        <v>18</v>
      </c>
    </row>
    <row r="29" spans="1:5" x14ac:dyDescent="0.25">
      <c r="A29" t="s">
        <v>19</v>
      </c>
    </row>
    <row r="31" spans="1:5" x14ac:dyDescent="0.25">
      <c r="B31" s="7" t="s">
        <v>1</v>
      </c>
      <c r="D31" s="2" t="s">
        <v>2</v>
      </c>
      <c r="E31" s="9" t="s">
        <v>3</v>
      </c>
    </row>
    <row r="32" spans="1:5" x14ac:dyDescent="0.25">
      <c r="A32" s="6" t="s">
        <v>4</v>
      </c>
      <c r="B32" s="8">
        <v>1</v>
      </c>
      <c r="D32" t="s">
        <v>4</v>
      </c>
      <c r="E32" s="4">
        <f>B32</f>
        <v>1</v>
      </c>
    </row>
    <row r="33" spans="1:5" x14ac:dyDescent="0.25">
      <c r="A33" s="6" t="s">
        <v>5</v>
      </c>
      <c r="B33" s="8">
        <v>1</v>
      </c>
      <c r="D33" t="s">
        <v>5</v>
      </c>
      <c r="E33" s="4">
        <f>B33</f>
        <v>1</v>
      </c>
    </row>
    <row r="34" spans="1:5" x14ac:dyDescent="0.25">
      <c r="A34" t="s">
        <v>6</v>
      </c>
      <c r="B34" s="4">
        <f>B32/1</f>
        <v>1</v>
      </c>
      <c r="D34" t="s">
        <v>7</v>
      </c>
      <c r="E34" s="4">
        <f>B37</f>
        <v>0</v>
      </c>
    </row>
    <row r="35" spans="1:5" x14ac:dyDescent="0.25">
      <c r="A35" t="s">
        <v>8</v>
      </c>
      <c r="B35" s="4">
        <f>IF((B33/2)&lt;1,0,(B33/2))</f>
        <v>0</v>
      </c>
      <c r="D35" t="s">
        <v>9</v>
      </c>
      <c r="E35" s="4">
        <f>+B38</f>
        <v>1</v>
      </c>
    </row>
    <row r="36" spans="1:5" x14ac:dyDescent="0.25">
      <c r="A36" t="s">
        <v>10</v>
      </c>
      <c r="B36" s="4">
        <f>MIN(B34,B35)</f>
        <v>0</v>
      </c>
      <c r="D36" t="s">
        <v>11</v>
      </c>
      <c r="E36" s="4">
        <f>+B39</f>
        <v>1</v>
      </c>
    </row>
    <row r="37" spans="1:5" x14ac:dyDescent="0.25">
      <c r="A37" t="s">
        <v>7</v>
      </c>
      <c r="B37" s="4">
        <f>B36*1</f>
        <v>0</v>
      </c>
    </row>
    <row r="38" spans="1:5" x14ac:dyDescent="0.25">
      <c r="A38" t="s">
        <v>9</v>
      </c>
      <c r="B38" s="4">
        <f>B32-B36</f>
        <v>1</v>
      </c>
    </row>
    <row r="39" spans="1:5" x14ac:dyDescent="0.25">
      <c r="A39" t="s">
        <v>11</v>
      </c>
      <c r="B39" s="4">
        <f>B33-(2*B36)</f>
        <v>1</v>
      </c>
    </row>
    <row r="55" spans="6:11" ht="15.75" thickBot="1" x14ac:dyDescent="0.3"/>
    <row r="56" spans="6:11" ht="15.75" thickBot="1" x14ac:dyDescent="0.3">
      <c r="F56" s="14" t="s">
        <v>20</v>
      </c>
      <c r="G56" s="15" t="s">
        <v>21</v>
      </c>
      <c r="H56" s="16">
        <v>1</v>
      </c>
    </row>
    <row r="57" spans="6:11" ht="15.75" thickBot="1" x14ac:dyDescent="0.3">
      <c r="F57" s="14" t="s">
        <v>20</v>
      </c>
      <c r="G57" s="13" t="s">
        <v>22</v>
      </c>
      <c r="H57" s="12">
        <v>6</v>
      </c>
    </row>
    <row r="58" spans="6:11" ht="15.75" thickBot="1" x14ac:dyDescent="0.3">
      <c r="F58" s="14" t="s">
        <v>23</v>
      </c>
      <c r="G58" s="15" t="s">
        <v>24</v>
      </c>
      <c r="H58" s="16">
        <v>4</v>
      </c>
    </row>
    <row r="59" spans="6:11" x14ac:dyDescent="0.25">
      <c r="H59" s="7" t="s">
        <v>1</v>
      </c>
      <c r="J59" s="2" t="s">
        <v>2</v>
      </c>
      <c r="K59" s="9" t="s">
        <v>3</v>
      </c>
    </row>
    <row r="60" spans="6:11" x14ac:dyDescent="0.25">
      <c r="G60" s="6" t="s">
        <v>25</v>
      </c>
      <c r="H60" s="8">
        <v>2</v>
      </c>
      <c r="J60" t="s">
        <v>4</v>
      </c>
      <c r="K60" s="4">
        <f>H60</f>
        <v>2</v>
      </c>
    </row>
    <row r="61" spans="6:11" x14ac:dyDescent="0.25">
      <c r="G61" s="6" t="s">
        <v>5</v>
      </c>
      <c r="H61" s="8">
        <v>8</v>
      </c>
      <c r="J61" t="s">
        <v>5</v>
      </c>
      <c r="K61" s="4">
        <f>H61</f>
        <v>8</v>
      </c>
    </row>
    <row r="62" spans="6:11" x14ac:dyDescent="0.25">
      <c r="G62" t="s">
        <v>26</v>
      </c>
      <c r="H62" s="4">
        <f>H60/H56</f>
        <v>2</v>
      </c>
      <c r="J62" t="s">
        <v>7</v>
      </c>
      <c r="K62" s="4">
        <f>H65</f>
        <v>4</v>
      </c>
    </row>
    <row r="63" spans="6:11" x14ac:dyDescent="0.25">
      <c r="G63" t="s">
        <v>8</v>
      </c>
      <c r="H63" s="4">
        <f>ROUNDDOWN(MIN(H60/H56,H61/H57),0)</f>
        <v>1</v>
      </c>
      <c r="J63" t="s">
        <v>9</v>
      </c>
      <c r="K63" s="4">
        <f>+H66</f>
        <v>1</v>
      </c>
    </row>
    <row r="64" spans="6:11" x14ac:dyDescent="0.25">
      <c r="G64" t="s">
        <v>10</v>
      </c>
      <c r="H64" s="4">
        <f>MIN(H62,H63)</f>
        <v>1</v>
      </c>
      <c r="J64" t="s">
        <v>11</v>
      </c>
      <c r="K64" s="4">
        <f>+H67</f>
        <v>2</v>
      </c>
    </row>
    <row r="65" spans="6:11" x14ac:dyDescent="0.25">
      <c r="G65" s="5" t="s">
        <v>27</v>
      </c>
      <c r="H65" s="120">
        <f>H64*H58</f>
        <v>4</v>
      </c>
    </row>
    <row r="66" spans="6:11" x14ac:dyDescent="0.25">
      <c r="G66" s="5" t="s">
        <v>28</v>
      </c>
      <c r="H66" s="120">
        <f>H60-H64</f>
        <v>1</v>
      </c>
    </row>
    <row r="67" spans="6:11" x14ac:dyDescent="0.25">
      <c r="G67" s="5" t="s">
        <v>11</v>
      </c>
      <c r="H67" s="120">
        <f>H61-(6*H64)</f>
        <v>2</v>
      </c>
    </row>
    <row r="75" spans="6:11" ht="15.75" thickBot="1" x14ac:dyDescent="0.3"/>
    <row r="76" spans="6:11" ht="15.75" thickBot="1" x14ac:dyDescent="0.3">
      <c r="F76" s="14" t="s">
        <v>20</v>
      </c>
      <c r="G76" s="15" t="s">
        <v>29</v>
      </c>
      <c r="H76" s="16">
        <v>2</v>
      </c>
    </row>
    <row r="77" spans="6:11" ht="15.75" thickBot="1" x14ac:dyDescent="0.3">
      <c r="F77" s="14" t="s">
        <v>20</v>
      </c>
      <c r="G77" s="13" t="s">
        <v>30</v>
      </c>
      <c r="H77" s="12">
        <v>1</v>
      </c>
    </row>
    <row r="78" spans="6:11" ht="15.75" thickBot="1" x14ac:dyDescent="0.3">
      <c r="F78" s="14" t="s">
        <v>23</v>
      </c>
      <c r="G78" s="15" t="s">
        <v>31</v>
      </c>
      <c r="H78" s="16">
        <v>2</v>
      </c>
    </row>
    <row r="79" spans="6:11" x14ac:dyDescent="0.25">
      <c r="H79" s="7" t="s">
        <v>1</v>
      </c>
      <c r="J79" s="2" t="s">
        <v>2</v>
      </c>
      <c r="K79" s="9" t="s">
        <v>3</v>
      </c>
    </row>
    <row r="80" spans="6:11" x14ac:dyDescent="0.25">
      <c r="G80" s="6" t="s">
        <v>32</v>
      </c>
      <c r="H80" s="8">
        <v>1</v>
      </c>
      <c r="J80" t="s">
        <v>4</v>
      </c>
      <c r="K80" s="4">
        <f>H80</f>
        <v>1</v>
      </c>
    </row>
    <row r="81" spans="1:18" x14ac:dyDescent="0.25">
      <c r="G81" s="6" t="s">
        <v>33</v>
      </c>
      <c r="H81" s="8">
        <v>1</v>
      </c>
      <c r="J81" t="s">
        <v>5</v>
      </c>
      <c r="K81" s="4">
        <f>H81</f>
        <v>1</v>
      </c>
    </row>
    <row r="82" spans="1:18" x14ac:dyDescent="0.25">
      <c r="G82" t="s">
        <v>34</v>
      </c>
      <c r="H82" s="4">
        <f>H80/H76</f>
        <v>0.5</v>
      </c>
      <c r="J82" t="s">
        <v>7</v>
      </c>
      <c r="K82" s="4">
        <f>H85</f>
        <v>0</v>
      </c>
    </row>
    <row r="83" spans="1:18" x14ac:dyDescent="0.25">
      <c r="G83" t="s">
        <v>35</v>
      </c>
      <c r="H83" s="4">
        <f>ROUNDDOWN(MIN(H80/H76,H81/H77),0)</f>
        <v>0</v>
      </c>
      <c r="J83" t="s">
        <v>9</v>
      </c>
      <c r="K83" s="4">
        <f>+H86</f>
        <v>1</v>
      </c>
    </row>
    <row r="84" spans="1:18" x14ac:dyDescent="0.25">
      <c r="G84" t="s">
        <v>10</v>
      </c>
      <c r="H84" s="4">
        <f>MIN(H82,H83)</f>
        <v>0</v>
      </c>
      <c r="J84" t="s">
        <v>11</v>
      </c>
      <c r="K84" s="4">
        <f>+H87</f>
        <v>1</v>
      </c>
    </row>
    <row r="85" spans="1:18" x14ac:dyDescent="0.25">
      <c r="G85" s="5" t="s">
        <v>36</v>
      </c>
      <c r="H85" s="120">
        <f>H84*H78</f>
        <v>0</v>
      </c>
    </row>
    <row r="86" spans="1:18" x14ac:dyDescent="0.25">
      <c r="G86" s="5" t="s">
        <v>37</v>
      </c>
      <c r="H86" s="120">
        <f>H80-H84</f>
        <v>1</v>
      </c>
    </row>
    <row r="87" spans="1:18" x14ac:dyDescent="0.25">
      <c r="G87" s="5" t="s">
        <v>38</v>
      </c>
      <c r="H87" s="120">
        <f>H81-(6*H84)</f>
        <v>1</v>
      </c>
    </row>
    <row r="89" spans="1:18" ht="15.75" thickBot="1" x14ac:dyDescent="0.3"/>
    <row r="90" spans="1:18" x14ac:dyDescent="0.25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9"/>
    </row>
    <row r="91" spans="1:18" ht="15.75" thickBot="1" x14ac:dyDescent="0.3">
      <c r="A91" s="20"/>
      <c r="R91" s="21"/>
    </row>
    <row r="92" spans="1:18" ht="15.75" thickBot="1" x14ac:dyDescent="0.3">
      <c r="A92" s="20"/>
      <c r="F92" s="14" t="s">
        <v>20</v>
      </c>
      <c r="G92" s="15" t="s">
        <v>39</v>
      </c>
      <c r="H92" s="16">
        <v>1</v>
      </c>
      <c r="I92" s="16">
        <f>+H97/H92</f>
        <v>2</v>
      </c>
      <c r="R92" s="21"/>
    </row>
    <row r="93" spans="1:18" ht="15.75" thickBot="1" x14ac:dyDescent="0.3">
      <c r="A93" s="20"/>
      <c r="F93" s="14" t="s">
        <v>20</v>
      </c>
      <c r="G93" s="13" t="s">
        <v>40</v>
      </c>
      <c r="H93" s="12">
        <v>2</v>
      </c>
      <c r="I93" s="16">
        <f>+H98/H93</f>
        <v>4</v>
      </c>
      <c r="J93" s="134" t="s">
        <v>41</v>
      </c>
      <c r="K93" s="134"/>
      <c r="R93" s="21"/>
    </row>
    <row r="94" spans="1:18" ht="15.75" thickBot="1" x14ac:dyDescent="0.3">
      <c r="A94" s="20"/>
      <c r="F94" s="14" t="s">
        <v>23</v>
      </c>
      <c r="G94" s="15" t="s">
        <v>42</v>
      </c>
      <c r="H94" s="16">
        <v>1</v>
      </c>
      <c r="R94" s="21"/>
    </row>
    <row r="95" spans="1:18" x14ac:dyDescent="0.25">
      <c r="A95" s="20"/>
      <c r="R95" s="21"/>
    </row>
    <row r="96" spans="1:18" x14ac:dyDescent="0.25">
      <c r="A96" s="20"/>
      <c r="H96" s="7" t="s">
        <v>1</v>
      </c>
      <c r="R96" s="21"/>
    </row>
    <row r="97" spans="1:18" x14ac:dyDescent="0.25">
      <c r="A97" s="20"/>
      <c r="G97" s="6" t="s">
        <v>4</v>
      </c>
      <c r="H97" s="8">
        <v>2</v>
      </c>
      <c r="R97" s="21"/>
    </row>
    <row r="98" spans="1:18" x14ac:dyDescent="0.25">
      <c r="A98" s="20"/>
      <c r="G98" s="6" t="s">
        <v>5</v>
      </c>
      <c r="H98" s="8">
        <v>8</v>
      </c>
      <c r="R98" s="21"/>
    </row>
    <row r="99" spans="1:18" x14ac:dyDescent="0.25">
      <c r="A99" s="20"/>
      <c r="G99" t="s">
        <v>6</v>
      </c>
      <c r="H99" s="4">
        <f>H97/H92</f>
        <v>2</v>
      </c>
      <c r="R99" s="21"/>
    </row>
    <row r="100" spans="1:18" x14ac:dyDescent="0.25">
      <c r="A100" s="20"/>
      <c r="G100" t="s">
        <v>8</v>
      </c>
      <c r="H100" s="4">
        <f>ROUNDDOWN(MIN(H97/H92,H98/H93),0)</f>
        <v>2</v>
      </c>
      <c r="R100" s="21"/>
    </row>
    <row r="101" spans="1:18" x14ac:dyDescent="0.25">
      <c r="A101" s="20"/>
      <c r="G101" t="s">
        <v>10</v>
      </c>
      <c r="H101" s="4">
        <f>MIN(H99,H100)</f>
        <v>2</v>
      </c>
      <c r="R101" s="21"/>
    </row>
    <row r="102" spans="1:18" x14ac:dyDescent="0.25">
      <c r="A102" s="20"/>
      <c r="G102" s="5" t="s">
        <v>43</v>
      </c>
      <c r="H102" s="120">
        <f>H101*H94</f>
        <v>2</v>
      </c>
      <c r="R102" s="21"/>
    </row>
    <row r="103" spans="1:18" x14ac:dyDescent="0.25">
      <c r="A103" s="20"/>
      <c r="G103" s="5" t="s">
        <v>9</v>
      </c>
      <c r="H103" s="120">
        <f>H97-H101</f>
        <v>0</v>
      </c>
      <c r="R103" s="21"/>
    </row>
    <row r="104" spans="1:18" x14ac:dyDescent="0.25">
      <c r="A104" s="20"/>
      <c r="G104" s="5" t="s">
        <v>11</v>
      </c>
      <c r="H104" s="120">
        <f>H98-(H93*H101)</f>
        <v>4</v>
      </c>
      <c r="R104" s="21"/>
    </row>
    <row r="105" spans="1:18" x14ac:dyDescent="0.25">
      <c r="A105" s="20"/>
      <c r="R105" s="21"/>
    </row>
    <row r="106" spans="1:18" x14ac:dyDescent="0.25">
      <c r="A106" s="20"/>
      <c r="R106" s="21"/>
    </row>
    <row r="107" spans="1:18" x14ac:dyDescent="0.25">
      <c r="A107" s="20"/>
      <c r="G107" s="2" t="s">
        <v>2</v>
      </c>
      <c r="H107" s="9" t="s">
        <v>3</v>
      </c>
      <c r="R107" s="21"/>
    </row>
    <row r="108" spans="1:18" x14ac:dyDescent="0.25">
      <c r="A108" s="20"/>
      <c r="G108" t="s">
        <v>4</v>
      </c>
      <c r="H108" s="4">
        <f>H97</f>
        <v>2</v>
      </c>
      <c r="R108" s="21"/>
    </row>
    <row r="109" spans="1:18" x14ac:dyDescent="0.25">
      <c r="A109" s="20"/>
      <c r="G109" t="s">
        <v>5</v>
      </c>
      <c r="H109" s="4">
        <f>H98</f>
        <v>8</v>
      </c>
      <c r="R109" s="21"/>
    </row>
    <row r="110" spans="1:18" x14ac:dyDescent="0.25">
      <c r="A110" s="20"/>
      <c r="G110" t="s">
        <v>7</v>
      </c>
      <c r="H110" s="4">
        <f>H102</f>
        <v>2</v>
      </c>
      <c r="R110" s="21"/>
    </row>
    <row r="111" spans="1:18" x14ac:dyDescent="0.25">
      <c r="A111" s="20"/>
      <c r="G111" t="s">
        <v>9</v>
      </c>
      <c r="H111" s="4">
        <f>+H103</f>
        <v>0</v>
      </c>
      <c r="R111" s="21"/>
    </row>
    <row r="112" spans="1:18" x14ac:dyDescent="0.25">
      <c r="A112" s="20"/>
      <c r="G112" t="s">
        <v>11</v>
      </c>
      <c r="H112" s="4">
        <f>+H104</f>
        <v>4</v>
      </c>
      <c r="R112" s="21"/>
    </row>
    <row r="113" spans="1:18" x14ac:dyDescent="0.25">
      <c r="A113" s="20"/>
      <c r="R113" s="21"/>
    </row>
    <row r="114" spans="1:18" x14ac:dyDescent="0.25">
      <c r="A114" s="20"/>
      <c r="R114" s="21"/>
    </row>
    <row r="115" spans="1:18" x14ac:dyDescent="0.25">
      <c r="A115" s="20"/>
      <c r="R115" s="21"/>
    </row>
    <row r="116" spans="1:18" x14ac:dyDescent="0.25">
      <c r="A116" s="20"/>
      <c r="R116" s="21"/>
    </row>
    <row r="117" spans="1:18" x14ac:dyDescent="0.25">
      <c r="A117" s="20"/>
      <c r="R117" s="21"/>
    </row>
    <row r="118" spans="1:18" x14ac:dyDescent="0.25">
      <c r="A118" s="20"/>
      <c r="R118" s="21"/>
    </row>
    <row r="119" spans="1:18" x14ac:dyDescent="0.25">
      <c r="A119" s="20"/>
      <c r="R119" s="21"/>
    </row>
    <row r="120" spans="1:18" x14ac:dyDescent="0.25">
      <c r="A120" s="20"/>
      <c r="R120" s="21"/>
    </row>
    <row r="121" spans="1:18" x14ac:dyDescent="0.25">
      <c r="A121" s="20"/>
      <c r="R121" s="21"/>
    </row>
    <row r="122" spans="1:18" x14ac:dyDescent="0.25">
      <c r="A122" s="20"/>
      <c r="R122" s="21"/>
    </row>
    <row r="123" spans="1:18" x14ac:dyDescent="0.25">
      <c r="A123" s="20"/>
      <c r="R123" s="21"/>
    </row>
    <row r="124" spans="1:18" ht="15.75" thickBot="1" x14ac:dyDescent="0.3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4"/>
    </row>
    <row r="126" spans="1:18" x14ac:dyDescent="0.25">
      <c r="B126" t="s">
        <v>44</v>
      </c>
      <c r="C126" t="s">
        <v>45</v>
      </c>
    </row>
    <row r="128" spans="1:18" x14ac:dyDescent="0.25">
      <c r="B128" s="26" t="s">
        <v>39</v>
      </c>
      <c r="C128" s="26" t="s">
        <v>46</v>
      </c>
      <c r="E128" t="s">
        <v>47</v>
      </c>
    </row>
    <row r="129" spans="2:5" x14ac:dyDescent="0.25">
      <c r="B129" s="25">
        <v>2</v>
      </c>
      <c r="C129" s="25">
        <v>4</v>
      </c>
      <c r="E129" s="3"/>
    </row>
    <row r="130" spans="2:5" x14ac:dyDescent="0.25">
      <c r="B130" s="25">
        <v>3</v>
      </c>
      <c r="C130" s="25">
        <v>5</v>
      </c>
      <c r="E130" s="3" t="s">
        <v>48</v>
      </c>
    </row>
    <row r="131" spans="2:5" x14ac:dyDescent="0.25">
      <c r="B131" s="25">
        <v>5</v>
      </c>
      <c r="C131" s="25">
        <v>12</v>
      </c>
      <c r="E131" s="3" t="s">
        <v>49</v>
      </c>
    </row>
    <row r="132" spans="2:5" x14ac:dyDescent="0.25">
      <c r="B132" s="25">
        <v>8</v>
      </c>
      <c r="C132" s="25">
        <v>10</v>
      </c>
      <c r="E132" s="3" t="s">
        <v>50</v>
      </c>
    </row>
    <row r="133" spans="2:5" x14ac:dyDescent="0.25">
      <c r="B133" s="25">
        <v>10</v>
      </c>
      <c r="C133" s="25">
        <v>20</v>
      </c>
      <c r="E133" s="3" t="s">
        <v>51</v>
      </c>
    </row>
  </sheetData>
  <mergeCells count="1">
    <mergeCell ref="J93:K9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4D1F-21ED-4257-B03A-BF40FBFC4D2C}">
  <dimension ref="B2:H47"/>
  <sheetViews>
    <sheetView workbookViewId="0">
      <selection activeCell="K19" sqref="K19"/>
    </sheetView>
  </sheetViews>
  <sheetFormatPr baseColWidth="10" defaultColWidth="11.42578125" defaultRowHeight="15" x14ac:dyDescent="0.25"/>
  <cols>
    <col min="4" max="4" width="21" bestFit="1" customWidth="1"/>
    <col min="7" max="7" width="16.7109375" bestFit="1" customWidth="1"/>
  </cols>
  <sheetData>
    <row r="2" spans="2:8" x14ac:dyDescent="0.25">
      <c r="D2" s="11" t="s">
        <v>52</v>
      </c>
    </row>
    <row r="5" spans="2:8" ht="23.25" x14ac:dyDescent="0.35">
      <c r="B5" s="28" t="s">
        <v>53</v>
      </c>
    </row>
    <row r="8" spans="2:8" x14ac:dyDescent="0.25">
      <c r="D8" s="1" t="s">
        <v>0</v>
      </c>
      <c r="E8" s="7" t="s">
        <v>1</v>
      </c>
      <c r="G8" s="2" t="s">
        <v>2</v>
      </c>
      <c r="H8" s="9" t="s">
        <v>3</v>
      </c>
    </row>
    <row r="9" spans="2:8" x14ac:dyDescent="0.25">
      <c r="D9" s="6" t="s">
        <v>4</v>
      </c>
      <c r="E9" s="8">
        <v>3</v>
      </c>
      <c r="G9" t="s">
        <v>4</v>
      </c>
      <c r="H9" s="4">
        <f>E9</f>
        <v>3</v>
      </c>
    </row>
    <row r="10" spans="2:8" x14ac:dyDescent="0.25">
      <c r="D10" s="6" t="s">
        <v>5</v>
      </c>
      <c r="E10" s="8">
        <v>8</v>
      </c>
      <c r="G10" t="s">
        <v>5</v>
      </c>
      <c r="H10" s="4">
        <f>E10</f>
        <v>8</v>
      </c>
    </row>
    <row r="11" spans="2:8" x14ac:dyDescent="0.25">
      <c r="D11" t="s">
        <v>6</v>
      </c>
      <c r="E11" s="4">
        <f>E9/1</f>
        <v>3</v>
      </c>
      <c r="G11" t="s">
        <v>7</v>
      </c>
      <c r="H11" s="4">
        <f>E14</f>
        <v>3</v>
      </c>
    </row>
    <row r="12" spans="2:8" x14ac:dyDescent="0.25">
      <c r="D12" t="s">
        <v>8</v>
      </c>
      <c r="E12" s="4">
        <f>E10/2</f>
        <v>4</v>
      </c>
      <c r="G12" t="s">
        <v>9</v>
      </c>
      <c r="H12" s="4">
        <f>E15</f>
        <v>0</v>
      </c>
    </row>
    <row r="13" spans="2:8" x14ac:dyDescent="0.25">
      <c r="D13" t="s">
        <v>10</v>
      </c>
      <c r="E13" s="4">
        <f>MIN(E11,E12)</f>
        <v>3</v>
      </c>
      <c r="G13" t="s">
        <v>11</v>
      </c>
      <c r="H13" s="4">
        <f>E16</f>
        <v>2</v>
      </c>
    </row>
    <row r="14" spans="2:8" x14ac:dyDescent="0.25">
      <c r="D14" s="5" t="s">
        <v>7</v>
      </c>
      <c r="E14" s="120">
        <f>E13*1</f>
        <v>3</v>
      </c>
    </row>
    <row r="15" spans="2:8" x14ac:dyDescent="0.25">
      <c r="D15" s="5" t="s">
        <v>9</v>
      </c>
      <c r="E15" s="120">
        <f>E9-E13</f>
        <v>0</v>
      </c>
    </row>
    <row r="16" spans="2:8" x14ac:dyDescent="0.25">
      <c r="D16" s="5" t="s">
        <v>11</v>
      </c>
      <c r="E16" s="120">
        <f>E10-(2*E13)</f>
        <v>2</v>
      </c>
    </row>
    <row r="22" spans="2:7" x14ac:dyDescent="0.25">
      <c r="C22" s="27" t="s">
        <v>54</v>
      </c>
    </row>
    <row r="24" spans="2:7" x14ac:dyDescent="0.25">
      <c r="C24" s="27" t="s">
        <v>55</v>
      </c>
    </row>
    <row r="26" spans="2:7" x14ac:dyDescent="0.25">
      <c r="B26" t="s">
        <v>56</v>
      </c>
    </row>
    <row r="29" spans="2:7" x14ac:dyDescent="0.25">
      <c r="G29">
        <v>-726</v>
      </c>
    </row>
    <row r="31" spans="2:7" x14ac:dyDescent="0.25">
      <c r="B31" t="s">
        <v>57</v>
      </c>
      <c r="C31" t="s">
        <v>58</v>
      </c>
    </row>
    <row r="32" spans="2:7" x14ac:dyDescent="0.25">
      <c r="E32">
        <f>+E14*G29</f>
        <v>-2178</v>
      </c>
      <c r="F32" t="s">
        <v>59</v>
      </c>
    </row>
    <row r="40" spans="3:7" x14ac:dyDescent="0.25">
      <c r="C40" t="s">
        <v>60</v>
      </c>
    </row>
    <row r="42" spans="3:7" x14ac:dyDescent="0.25">
      <c r="F42" s="26" t="s">
        <v>15</v>
      </c>
      <c r="G42" s="30" t="s">
        <v>61</v>
      </c>
    </row>
    <row r="43" spans="3:7" x14ac:dyDescent="0.25">
      <c r="F43" s="31" t="s">
        <v>46</v>
      </c>
      <c r="G43" s="29">
        <v>0</v>
      </c>
    </row>
    <row r="44" spans="3:7" x14ac:dyDescent="0.25">
      <c r="F44" s="31" t="s">
        <v>62</v>
      </c>
      <c r="G44" s="29">
        <v>0</v>
      </c>
    </row>
    <row r="45" spans="3:7" x14ac:dyDescent="0.25">
      <c r="F45" s="31" t="s">
        <v>63</v>
      </c>
      <c r="G45" s="29" t="s">
        <v>64</v>
      </c>
    </row>
    <row r="46" spans="3:7" x14ac:dyDescent="0.25">
      <c r="F46" s="31" t="s">
        <v>65</v>
      </c>
      <c r="G46" s="29" t="s">
        <v>66</v>
      </c>
    </row>
    <row r="47" spans="3:7" x14ac:dyDescent="0.25">
      <c r="F47" s="31" t="s">
        <v>67</v>
      </c>
      <c r="G47" s="29" t="s">
        <v>68</v>
      </c>
    </row>
  </sheetData>
  <hyperlinks>
    <hyperlink ref="C22" r:id="rId1" xr:uid="{6A6C7633-D0F9-4A89-BDDA-0E1D71098F58}"/>
    <hyperlink ref="C24" r:id="rId2" xr:uid="{4617D7E9-C853-43D9-A513-52741065FE4D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6C1B-837C-469F-B39D-C47F4466B2F9}">
  <dimension ref="A1:T336"/>
  <sheetViews>
    <sheetView tabSelected="1" topLeftCell="F1" zoomScaleNormal="100" workbookViewId="0">
      <selection activeCell="J13" sqref="J13"/>
    </sheetView>
  </sheetViews>
  <sheetFormatPr baseColWidth="10" defaultColWidth="11.42578125" defaultRowHeight="15" x14ac:dyDescent="0.25"/>
  <cols>
    <col min="3" max="3" width="13" customWidth="1"/>
    <col min="4" max="4" width="18" customWidth="1"/>
    <col min="5" max="5" width="12.5703125" bestFit="1" customWidth="1"/>
    <col min="6" max="6" width="14.28515625" customWidth="1"/>
    <col min="7" max="7" width="17.7109375" customWidth="1"/>
    <col min="8" max="8" width="14.85546875" bestFit="1" customWidth="1"/>
    <col min="9" max="9" width="21" bestFit="1" customWidth="1"/>
    <col min="10" max="10" width="13.140625" customWidth="1"/>
    <col min="11" max="11" width="16.7109375" bestFit="1" customWidth="1"/>
    <col min="12" max="12" width="15.85546875" customWidth="1"/>
  </cols>
  <sheetData>
    <row r="1" spans="3:20" x14ac:dyDescent="0.25">
      <c r="E1" s="5"/>
      <c r="F1" s="5"/>
      <c r="G1" s="5"/>
      <c r="H1" s="5"/>
    </row>
    <row r="2" spans="3:20" ht="26.25" x14ac:dyDescent="0.4">
      <c r="C2" s="28" t="s">
        <v>53</v>
      </c>
      <c r="E2" s="5"/>
      <c r="F2" s="5"/>
      <c r="G2" s="5"/>
      <c r="H2" s="5"/>
      <c r="I2" s="46" t="s">
        <v>69</v>
      </c>
    </row>
    <row r="3" spans="3:20" ht="15.75" thickBot="1" x14ac:dyDescent="0.3">
      <c r="E3" s="5"/>
      <c r="F3" s="5"/>
      <c r="G3" s="5"/>
      <c r="H3" s="5"/>
    </row>
    <row r="4" spans="3:20" x14ac:dyDescent="0.25"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9"/>
    </row>
    <row r="5" spans="3:20" ht="15.75" thickBot="1" x14ac:dyDescent="0.3">
      <c r="C5" s="20"/>
      <c r="T5" s="21"/>
    </row>
    <row r="6" spans="3:20" ht="15.75" thickBot="1" x14ac:dyDescent="0.3">
      <c r="C6" s="20"/>
      <c r="H6" s="14" t="s">
        <v>20</v>
      </c>
      <c r="I6" s="100" t="s">
        <v>39</v>
      </c>
      <c r="J6" s="102">
        <v>1</v>
      </c>
      <c r="K6" s="16">
        <f>+J11/J6</f>
        <v>3</v>
      </c>
      <c r="T6" s="21"/>
    </row>
    <row r="7" spans="3:20" ht="15.75" thickBot="1" x14ac:dyDescent="0.3">
      <c r="C7" s="20"/>
      <c r="H7" s="14" t="s">
        <v>20</v>
      </c>
      <c r="I7" s="101" t="s">
        <v>40</v>
      </c>
      <c r="J7" s="103">
        <v>2</v>
      </c>
      <c r="K7" s="16">
        <f>+J12/J7</f>
        <v>2.5</v>
      </c>
      <c r="L7" s="134" t="s">
        <v>41</v>
      </c>
      <c r="M7" s="134"/>
      <c r="T7" s="21"/>
    </row>
    <row r="8" spans="3:20" ht="15.75" thickBot="1" x14ac:dyDescent="0.3">
      <c r="C8" s="20"/>
      <c r="H8" s="14" t="s">
        <v>23</v>
      </c>
      <c r="I8" s="100" t="s">
        <v>42</v>
      </c>
      <c r="J8" s="102">
        <v>1</v>
      </c>
      <c r="T8" s="21"/>
    </row>
    <row r="9" spans="3:20" x14ac:dyDescent="0.25">
      <c r="C9" s="20"/>
      <c r="T9" s="21"/>
    </row>
    <row r="10" spans="3:20" x14ac:dyDescent="0.25">
      <c r="C10" s="20"/>
      <c r="J10" s="7" t="s">
        <v>1</v>
      </c>
      <c r="T10" s="21"/>
    </row>
    <row r="11" spans="3:20" x14ac:dyDescent="0.25">
      <c r="C11" s="20"/>
      <c r="I11" s="6" t="s">
        <v>4</v>
      </c>
      <c r="J11" s="8">
        <v>3</v>
      </c>
      <c r="T11" s="21"/>
    </row>
    <row r="12" spans="3:20" x14ac:dyDescent="0.25">
      <c r="C12" s="20"/>
      <c r="I12" s="6" t="s">
        <v>5</v>
      </c>
      <c r="J12" s="8">
        <v>5</v>
      </c>
      <c r="T12" s="21"/>
    </row>
    <row r="13" spans="3:20" x14ac:dyDescent="0.25">
      <c r="C13" s="20"/>
      <c r="I13" t="s">
        <v>6</v>
      </c>
      <c r="J13" s="4">
        <f>J11/J6</f>
        <v>3</v>
      </c>
      <c r="T13" s="21"/>
    </row>
    <row r="14" spans="3:20" x14ac:dyDescent="0.25">
      <c r="C14" s="20"/>
      <c r="I14" t="s">
        <v>8</v>
      </c>
      <c r="J14" s="4">
        <f>ROUNDDOWN(MIN(J11/J6,J12/J7),0)</f>
        <v>2</v>
      </c>
      <c r="T14" s="21"/>
    </row>
    <row r="15" spans="3:20" x14ac:dyDescent="0.25">
      <c r="C15" s="20"/>
      <c r="I15" t="s">
        <v>10</v>
      </c>
      <c r="J15" s="4">
        <f>MIN(J13,J14)</f>
        <v>2</v>
      </c>
      <c r="T15" s="21"/>
    </row>
    <row r="16" spans="3:20" x14ac:dyDescent="0.25">
      <c r="C16" s="20"/>
      <c r="I16" s="5" t="s">
        <v>43</v>
      </c>
      <c r="J16" s="120">
        <f>J15*J8</f>
        <v>2</v>
      </c>
      <c r="T16" s="21"/>
    </row>
    <row r="17" spans="3:20" x14ac:dyDescent="0.25">
      <c r="C17" s="20"/>
      <c r="I17" s="5" t="s">
        <v>9</v>
      </c>
      <c r="J17" s="120">
        <f>J11-J15</f>
        <v>1</v>
      </c>
      <c r="T17" s="21"/>
    </row>
    <row r="18" spans="3:20" x14ac:dyDescent="0.25">
      <c r="C18" s="20"/>
      <c r="I18" s="5" t="s">
        <v>11</v>
      </c>
      <c r="J18" s="120">
        <f>J12-(J7*J15)</f>
        <v>1</v>
      </c>
      <c r="T18" s="21"/>
    </row>
    <row r="19" spans="3:20" x14ac:dyDescent="0.25">
      <c r="C19" s="20"/>
      <c r="T19" s="21"/>
    </row>
    <row r="20" spans="3:20" x14ac:dyDescent="0.25">
      <c r="C20" s="20"/>
      <c r="T20" s="21"/>
    </row>
    <row r="21" spans="3:20" x14ac:dyDescent="0.25">
      <c r="C21" s="20"/>
      <c r="K21" s="2" t="s">
        <v>2</v>
      </c>
      <c r="L21" s="9" t="s">
        <v>3</v>
      </c>
      <c r="T21" s="21"/>
    </row>
    <row r="22" spans="3:20" x14ac:dyDescent="0.25">
      <c r="C22" s="20"/>
      <c r="K22" t="s">
        <v>4</v>
      </c>
      <c r="L22" s="4">
        <f>J11</f>
        <v>3</v>
      </c>
      <c r="T22" s="21"/>
    </row>
    <row r="23" spans="3:20" x14ac:dyDescent="0.25">
      <c r="C23" s="20"/>
      <c r="K23" t="s">
        <v>5</v>
      </c>
      <c r="L23" s="4">
        <f>J12</f>
        <v>5</v>
      </c>
      <c r="T23" s="21"/>
    </row>
    <row r="24" spans="3:20" x14ac:dyDescent="0.25">
      <c r="C24" s="20"/>
      <c r="K24" t="s">
        <v>7</v>
      </c>
      <c r="L24" s="4">
        <f>J16</f>
        <v>2</v>
      </c>
      <c r="T24" s="21"/>
    </row>
    <row r="25" spans="3:20" x14ac:dyDescent="0.25">
      <c r="C25" s="20"/>
      <c r="K25" t="s">
        <v>9</v>
      </c>
      <c r="L25" s="4">
        <f>+J17</f>
        <v>1</v>
      </c>
      <c r="T25" s="21"/>
    </row>
    <row r="26" spans="3:20" x14ac:dyDescent="0.25">
      <c r="C26" s="20"/>
      <c r="K26" t="s">
        <v>11</v>
      </c>
      <c r="L26" s="4">
        <f>+J18</f>
        <v>1</v>
      </c>
      <c r="T26" s="21"/>
    </row>
    <row r="27" spans="3:20" x14ac:dyDescent="0.25">
      <c r="C27" s="20"/>
      <c r="T27" s="21"/>
    </row>
    <row r="28" spans="3:20" x14ac:dyDescent="0.25">
      <c r="C28" s="20"/>
      <c r="T28" s="21"/>
    </row>
    <row r="29" spans="3:20" x14ac:dyDescent="0.25">
      <c r="C29" s="20"/>
      <c r="T29" s="21"/>
    </row>
    <row r="30" spans="3:20" x14ac:dyDescent="0.25">
      <c r="C30" s="20"/>
      <c r="T30" s="21"/>
    </row>
    <row r="31" spans="3:20" x14ac:dyDescent="0.25">
      <c r="C31" s="20"/>
      <c r="T31" s="21"/>
    </row>
    <row r="32" spans="3:20" ht="15.75" thickBot="1" x14ac:dyDescent="0.3"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4"/>
    </row>
    <row r="34" spans="2:15" ht="23.25" x14ac:dyDescent="0.35">
      <c r="J34" s="28" t="s">
        <v>70</v>
      </c>
    </row>
    <row r="36" spans="2:15" ht="23.25" x14ac:dyDescent="0.35">
      <c r="B36" s="28"/>
      <c r="J36" s="34" t="s">
        <v>71</v>
      </c>
      <c r="K36" s="5"/>
      <c r="L36" s="5"/>
      <c r="M36" s="5"/>
    </row>
    <row r="37" spans="2:15" x14ac:dyDescent="0.25">
      <c r="J37" s="5"/>
      <c r="K37" s="5"/>
      <c r="L37" s="5"/>
      <c r="M37" s="5"/>
    </row>
    <row r="38" spans="2:15" x14ac:dyDescent="0.25">
      <c r="J38" s="5"/>
      <c r="K38" s="5"/>
      <c r="L38" s="5"/>
      <c r="M38" s="5"/>
    </row>
    <row r="39" spans="2:15" x14ac:dyDescent="0.25">
      <c r="J39" s="5"/>
      <c r="K39" s="5"/>
      <c r="L39" s="5"/>
      <c r="M39" s="5"/>
    </row>
    <row r="40" spans="2:15" ht="18" x14ac:dyDescent="0.25">
      <c r="J40" s="104"/>
      <c r="K40" s="105" t="s">
        <v>72</v>
      </c>
      <c r="L40" s="104"/>
      <c r="M40" s="104"/>
      <c r="N40" s="104"/>
      <c r="O40" s="104"/>
    </row>
    <row r="41" spans="2:15" ht="18.75" x14ac:dyDescent="0.3">
      <c r="J41" s="104"/>
      <c r="K41" s="106" t="s">
        <v>73</v>
      </c>
      <c r="L41" s="104"/>
      <c r="M41" s="104"/>
      <c r="N41" s="104"/>
      <c r="O41" s="104"/>
    </row>
    <row r="42" spans="2:15" x14ac:dyDescent="0.25">
      <c r="J42" s="104"/>
      <c r="K42" s="104"/>
      <c r="L42" s="104"/>
      <c r="M42" s="104"/>
      <c r="N42" s="104"/>
      <c r="O42" s="104"/>
    </row>
    <row r="43" spans="2:15" ht="21" x14ac:dyDescent="0.35">
      <c r="J43" s="104"/>
      <c r="K43" s="106" t="s">
        <v>74</v>
      </c>
      <c r="L43" s="106"/>
      <c r="M43" s="106"/>
      <c r="N43" s="106"/>
      <c r="O43" s="104"/>
    </row>
    <row r="45" spans="2:15" ht="18" x14ac:dyDescent="0.25">
      <c r="K45" s="32" t="s">
        <v>75</v>
      </c>
    </row>
    <row r="46" spans="2:15" ht="18.75" x14ac:dyDescent="0.3">
      <c r="K46" s="33" t="s">
        <v>76</v>
      </c>
    </row>
    <row r="49" spans="10:14" ht="21" x14ac:dyDescent="0.35">
      <c r="K49" s="33" t="s">
        <v>77</v>
      </c>
      <c r="L49" s="33"/>
      <c r="M49" s="35"/>
      <c r="N49" s="33"/>
    </row>
    <row r="51" spans="10:14" ht="23.25" x14ac:dyDescent="0.35">
      <c r="J51" s="28" t="s">
        <v>78</v>
      </c>
    </row>
    <row r="53" spans="10:14" ht="18.75" x14ac:dyDescent="0.3">
      <c r="K53" s="33" t="s">
        <v>79</v>
      </c>
    </row>
    <row r="54" spans="10:14" ht="37.5" x14ac:dyDescent="0.25">
      <c r="K54" s="37" t="s">
        <v>80</v>
      </c>
      <c r="L54" s="37" t="s">
        <v>81</v>
      </c>
    </row>
    <row r="55" spans="10:14" ht="18.75" x14ac:dyDescent="0.25">
      <c r="K55" s="36" t="s">
        <v>39</v>
      </c>
      <c r="L55" s="36">
        <v>6</v>
      </c>
    </row>
    <row r="56" spans="10:14" ht="18.75" x14ac:dyDescent="0.25">
      <c r="K56" s="36" t="s">
        <v>46</v>
      </c>
      <c r="L56" s="36">
        <v>4</v>
      </c>
    </row>
    <row r="57" spans="10:14" ht="18.75" x14ac:dyDescent="0.3">
      <c r="J57" s="33" t="s">
        <v>82</v>
      </c>
    </row>
    <row r="59" spans="10:14" ht="18.75" x14ac:dyDescent="0.3">
      <c r="J59" s="33" t="s">
        <v>83</v>
      </c>
    </row>
    <row r="62" spans="10:14" ht="18.75" x14ac:dyDescent="0.3">
      <c r="J62" s="33" t="s">
        <v>84</v>
      </c>
    </row>
    <row r="64" spans="10:14" ht="18.75" x14ac:dyDescent="0.3">
      <c r="J64" s="33" t="s">
        <v>85</v>
      </c>
    </row>
    <row r="66" spans="10:11" ht="18.75" x14ac:dyDescent="0.3">
      <c r="J66" s="33" t="s">
        <v>86</v>
      </c>
    </row>
    <row r="68" spans="10:11" ht="23.25" x14ac:dyDescent="0.35">
      <c r="J68" s="28" t="s">
        <v>87</v>
      </c>
    </row>
    <row r="70" spans="10:11" ht="18.75" x14ac:dyDescent="0.3">
      <c r="J70" s="38" t="s">
        <v>39</v>
      </c>
      <c r="K70" s="33" t="s">
        <v>88</v>
      </c>
    </row>
    <row r="71" spans="10:11" ht="18.75" x14ac:dyDescent="0.3">
      <c r="J71" s="36" t="s">
        <v>46</v>
      </c>
      <c r="K71" s="33" t="s">
        <v>88</v>
      </c>
    </row>
    <row r="74" spans="10:11" ht="23.25" x14ac:dyDescent="0.35">
      <c r="J74" s="28" t="s">
        <v>89</v>
      </c>
    </row>
    <row r="76" spans="10:11" ht="18.75" x14ac:dyDescent="0.3">
      <c r="J76" s="38" t="s">
        <v>39</v>
      </c>
      <c r="K76" s="33" t="s">
        <v>90</v>
      </c>
    </row>
    <row r="77" spans="10:11" ht="18.75" x14ac:dyDescent="0.3">
      <c r="J77" s="36" t="s">
        <v>46</v>
      </c>
      <c r="K77" s="33" t="s">
        <v>90</v>
      </c>
    </row>
    <row r="79" spans="10:11" ht="15.75" customHeight="1" thickBot="1" x14ac:dyDescent="0.3"/>
    <row r="80" spans="10:11" ht="27.75" customHeight="1" thickBot="1" x14ac:dyDescent="0.3">
      <c r="J80" s="39" t="s">
        <v>2</v>
      </c>
      <c r="K80" s="40" t="s">
        <v>91</v>
      </c>
    </row>
    <row r="81" spans="4:11" ht="16.5" thickBot="1" x14ac:dyDescent="0.3">
      <c r="J81" s="126" t="s">
        <v>92</v>
      </c>
      <c r="K81" s="127" t="s">
        <v>93</v>
      </c>
    </row>
    <row r="82" spans="4:11" ht="16.5" thickBot="1" x14ac:dyDescent="0.3">
      <c r="J82" s="126" t="s">
        <v>94</v>
      </c>
      <c r="K82" s="127" t="s">
        <v>95</v>
      </c>
    </row>
    <row r="83" spans="4:11" ht="32.25" thickBot="1" x14ac:dyDescent="0.3">
      <c r="J83" s="128" t="s">
        <v>96</v>
      </c>
      <c r="K83" s="44" t="s">
        <v>46</v>
      </c>
    </row>
    <row r="84" spans="4:11" ht="32.25" thickBot="1" x14ac:dyDescent="0.3">
      <c r="J84" s="129" t="s">
        <v>97</v>
      </c>
      <c r="K84" s="41" t="s">
        <v>98</v>
      </c>
    </row>
    <row r="85" spans="4:11" ht="32.25" thickBot="1" x14ac:dyDescent="0.3">
      <c r="J85" s="130" t="s">
        <v>99</v>
      </c>
      <c r="K85" s="131" t="s">
        <v>98</v>
      </c>
    </row>
    <row r="86" spans="4:11" ht="16.5" thickBot="1" x14ac:dyDescent="0.3">
      <c r="J86" s="130" t="s">
        <v>9</v>
      </c>
      <c r="K86" s="45" t="s">
        <v>100</v>
      </c>
    </row>
    <row r="87" spans="4:11" ht="31.5" x14ac:dyDescent="0.25">
      <c r="J87" s="132" t="s">
        <v>101</v>
      </c>
      <c r="K87" s="42" t="s">
        <v>95</v>
      </c>
    </row>
    <row r="88" spans="4:11" ht="16.5" thickBot="1" x14ac:dyDescent="0.3">
      <c r="J88" s="133" t="s">
        <v>102</v>
      </c>
      <c r="K88" s="43" t="s">
        <v>103</v>
      </c>
    </row>
    <row r="90" spans="4:11" ht="15.75" thickBot="1" x14ac:dyDescent="0.3"/>
    <row r="91" spans="4:11" ht="21" x14ac:dyDescent="0.35">
      <c r="E91" s="64" t="s">
        <v>44</v>
      </c>
      <c r="F91" s="76" t="s">
        <v>45</v>
      </c>
      <c r="G91" s="65"/>
      <c r="H91" s="65"/>
      <c r="I91" s="65"/>
      <c r="J91" s="65"/>
      <c r="K91" s="66"/>
    </row>
    <row r="92" spans="4:11" x14ac:dyDescent="0.25">
      <c r="E92" s="20"/>
      <c r="K92" s="21"/>
    </row>
    <row r="93" spans="4:11" ht="21" x14ac:dyDescent="0.35">
      <c r="E93" s="67" t="s">
        <v>39</v>
      </c>
      <c r="F93" s="68" t="s">
        <v>46</v>
      </c>
      <c r="G93" s="35"/>
      <c r="H93" s="35" t="s">
        <v>47</v>
      </c>
      <c r="I93" s="35"/>
      <c r="J93" s="35"/>
      <c r="K93" s="69"/>
    </row>
    <row r="94" spans="4:11" ht="21" x14ac:dyDescent="0.35">
      <c r="D94" t="s">
        <v>104</v>
      </c>
      <c r="E94" s="70">
        <v>2</v>
      </c>
      <c r="F94" s="71">
        <v>4</v>
      </c>
      <c r="G94" s="35"/>
      <c r="H94" s="72"/>
      <c r="I94" s="35"/>
      <c r="J94" s="35"/>
      <c r="K94" s="69"/>
    </row>
    <row r="95" spans="4:11" ht="21" x14ac:dyDescent="0.35">
      <c r="D95" t="s">
        <v>105</v>
      </c>
      <c r="E95" s="121">
        <v>3</v>
      </c>
      <c r="F95" s="122">
        <v>5</v>
      </c>
      <c r="G95" s="35"/>
      <c r="H95" s="72" t="s">
        <v>48</v>
      </c>
      <c r="I95" s="35"/>
      <c r="J95" s="35"/>
      <c r="K95" s="69"/>
    </row>
    <row r="96" spans="4:11" ht="21" x14ac:dyDescent="0.35">
      <c r="D96" t="s">
        <v>106</v>
      </c>
      <c r="E96" s="121">
        <v>5</v>
      </c>
      <c r="F96" s="122">
        <v>12</v>
      </c>
      <c r="G96" s="35"/>
      <c r="H96" s="72" t="s">
        <v>49</v>
      </c>
      <c r="I96" s="35"/>
      <c r="J96" s="35"/>
      <c r="K96" s="69"/>
    </row>
    <row r="97" spans="2:17" ht="21" x14ac:dyDescent="0.35">
      <c r="D97" t="s">
        <v>107</v>
      </c>
      <c r="E97" s="121">
        <v>8</v>
      </c>
      <c r="F97" s="122">
        <v>10</v>
      </c>
      <c r="G97" s="35"/>
      <c r="H97" s="72" t="s">
        <v>50</v>
      </c>
      <c r="I97" s="35"/>
      <c r="J97" s="35"/>
      <c r="K97" s="69"/>
    </row>
    <row r="98" spans="2:17" ht="21.75" thickBot="1" x14ac:dyDescent="0.4">
      <c r="D98" t="s">
        <v>108</v>
      </c>
      <c r="E98" s="123">
        <v>10</v>
      </c>
      <c r="F98" s="124">
        <v>20</v>
      </c>
      <c r="G98" s="73"/>
      <c r="H98" s="74" t="s">
        <v>51</v>
      </c>
      <c r="I98" s="73"/>
      <c r="J98" s="73"/>
      <c r="K98" s="75"/>
    </row>
    <row r="99" spans="2:17" ht="15.75" thickBot="1" x14ac:dyDescent="0.3"/>
    <row r="100" spans="2:17" s="107" customFormat="1" ht="21.75" thickBot="1" x14ac:dyDescent="0.4">
      <c r="E100" s="108" t="s">
        <v>109</v>
      </c>
      <c r="F100" s="109"/>
      <c r="G100" s="110"/>
    </row>
    <row r="101" spans="2:17" s="107" customFormat="1" x14ac:dyDescent="0.25"/>
    <row r="102" spans="2:17" ht="23.25" x14ac:dyDescent="0.35">
      <c r="C102" s="47" t="s">
        <v>110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6" spans="2:17" ht="21" x14ac:dyDescent="0.35">
      <c r="B106" s="35" t="s">
        <v>111</v>
      </c>
    </row>
    <row r="107" spans="2:17" x14ac:dyDescent="0.25">
      <c r="B107" s="3"/>
    </row>
    <row r="108" spans="2:17" ht="21" x14ac:dyDescent="0.25">
      <c r="B108" s="72" t="s">
        <v>112</v>
      </c>
    </row>
    <row r="110" spans="2:17" ht="21" x14ac:dyDescent="0.35">
      <c r="B110" s="35" t="s">
        <v>113</v>
      </c>
    </row>
    <row r="115" spans="1:11" ht="18.75" x14ac:dyDescent="0.3">
      <c r="B115" s="33" t="s">
        <v>114</v>
      </c>
    </row>
    <row r="117" spans="1:11" ht="21" x14ac:dyDescent="0.35">
      <c r="B117" s="89" t="s">
        <v>115</v>
      </c>
      <c r="C117" s="5"/>
      <c r="D117" s="5"/>
      <c r="E117" s="5"/>
      <c r="F117" s="5"/>
    </row>
    <row r="118" spans="1:11" ht="21" x14ac:dyDescent="0.35">
      <c r="B118" s="90" t="s">
        <v>116</v>
      </c>
      <c r="C118" s="5"/>
      <c r="D118" s="5"/>
      <c r="E118" s="5"/>
      <c r="F118" s="5"/>
    </row>
    <row r="124" spans="1:11" ht="21" x14ac:dyDescent="0.35">
      <c r="B124" s="77" t="s">
        <v>117</v>
      </c>
      <c r="C124" s="6"/>
      <c r="D124" s="6"/>
    </row>
    <row r="127" spans="1:11" ht="21" x14ac:dyDescent="0.35">
      <c r="B127" s="35" t="s">
        <v>118</v>
      </c>
    </row>
    <row r="128" spans="1:1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ht="21" x14ac:dyDescent="0.35">
      <c r="A129" s="6"/>
      <c r="B129" s="6"/>
      <c r="C129" s="6"/>
      <c r="D129" s="6"/>
      <c r="E129" s="6"/>
      <c r="F129" s="6"/>
      <c r="G129" s="77" t="s">
        <v>119</v>
      </c>
      <c r="H129" s="6"/>
      <c r="I129" s="6"/>
      <c r="J129" s="6"/>
      <c r="K129" s="6"/>
    </row>
    <row r="130" spans="1:11" ht="21" x14ac:dyDescent="0.25">
      <c r="A130" s="6"/>
      <c r="B130" s="6"/>
      <c r="C130" s="6"/>
      <c r="D130" s="6"/>
      <c r="E130" s="6"/>
      <c r="F130" s="6"/>
      <c r="G130" s="78" t="s">
        <v>120</v>
      </c>
      <c r="H130" s="6"/>
      <c r="I130" s="6"/>
      <c r="J130" s="6"/>
      <c r="K130" s="6"/>
    </row>
    <row r="131" spans="1:11" ht="21" x14ac:dyDescent="0.35">
      <c r="A131" s="6"/>
      <c r="B131" s="77" t="s">
        <v>121</v>
      </c>
      <c r="C131" s="6"/>
      <c r="D131" s="6"/>
      <c r="E131" s="6"/>
      <c r="F131" s="6"/>
      <c r="G131" s="78" t="s">
        <v>122</v>
      </c>
      <c r="H131" s="6"/>
      <c r="I131" s="6"/>
      <c r="J131" s="6"/>
      <c r="K131" s="6"/>
    </row>
    <row r="133" spans="1:11" ht="21" x14ac:dyDescent="0.35">
      <c r="B133" s="35" t="s">
        <v>123</v>
      </c>
    </row>
    <row r="135" spans="1:11" ht="15.75" thickBot="1" x14ac:dyDescent="0.3"/>
    <row r="136" spans="1:11" ht="21" customHeight="1" x14ac:dyDescent="0.25">
      <c r="B136" s="135" t="s">
        <v>124</v>
      </c>
      <c r="C136" s="136"/>
      <c r="D136" s="136"/>
      <c r="E136" s="136"/>
      <c r="F136" s="136"/>
      <c r="G136" s="136"/>
      <c r="H136" s="137"/>
    </row>
    <row r="137" spans="1:11" ht="15" customHeight="1" x14ac:dyDescent="0.25">
      <c r="B137" s="138"/>
      <c r="C137" s="139"/>
      <c r="D137" s="139"/>
      <c r="E137" s="139"/>
      <c r="F137" s="139"/>
      <c r="G137" s="139"/>
      <c r="H137" s="140"/>
    </row>
    <row r="138" spans="1:11" ht="15" customHeight="1" thickBot="1" x14ac:dyDescent="0.3">
      <c r="B138" s="141"/>
      <c r="C138" s="142"/>
      <c r="D138" s="142"/>
      <c r="E138" s="142"/>
      <c r="F138" s="142"/>
      <c r="G138" s="142"/>
      <c r="H138" s="143"/>
    </row>
    <row r="140" spans="1:11" ht="21" x14ac:dyDescent="0.35">
      <c r="B140" s="35" t="s">
        <v>125</v>
      </c>
      <c r="F140" s="35" t="s">
        <v>126</v>
      </c>
    </row>
    <row r="144" spans="1:11" ht="21" x14ac:dyDescent="0.35">
      <c r="B144" s="90" t="s">
        <v>127</v>
      </c>
      <c r="C144" s="5"/>
      <c r="D144" s="5"/>
      <c r="E144" s="5"/>
      <c r="F144" s="5"/>
    </row>
    <row r="146" spans="2:7" ht="15.75" x14ac:dyDescent="0.25">
      <c r="C146" s="81" t="s">
        <v>15</v>
      </c>
      <c r="D146" s="81" t="s">
        <v>128</v>
      </c>
    </row>
    <row r="147" spans="2:7" ht="15.75" x14ac:dyDescent="0.25">
      <c r="C147" s="79" t="s">
        <v>129</v>
      </c>
      <c r="D147" s="80">
        <v>-238.7</v>
      </c>
    </row>
    <row r="148" spans="2:7" ht="15.75" x14ac:dyDescent="0.25">
      <c r="C148" s="79" t="s">
        <v>130</v>
      </c>
      <c r="D148" s="80">
        <v>0</v>
      </c>
    </row>
    <row r="149" spans="2:7" ht="15.75" x14ac:dyDescent="0.25">
      <c r="C149" s="79" t="s">
        <v>131</v>
      </c>
      <c r="D149" s="80">
        <v>-393.5</v>
      </c>
    </row>
    <row r="150" spans="2:7" ht="15.75" x14ac:dyDescent="0.25">
      <c r="C150" s="79" t="s">
        <v>132</v>
      </c>
      <c r="D150" s="80">
        <v>-285.8</v>
      </c>
    </row>
    <row r="151" spans="2:7" ht="21" customHeight="1" x14ac:dyDescent="0.25">
      <c r="B151" s="144" t="s">
        <v>133</v>
      </c>
      <c r="C151" s="144"/>
      <c r="D151" s="144"/>
      <c r="E151" s="144"/>
      <c r="F151" s="144"/>
      <c r="G151" s="144"/>
    </row>
    <row r="152" spans="2:7" ht="21.75" customHeight="1" x14ac:dyDescent="0.25">
      <c r="B152" s="144"/>
      <c r="C152" s="144"/>
      <c r="D152" s="144"/>
      <c r="E152" s="144"/>
      <c r="F152" s="144"/>
      <c r="G152" s="144"/>
    </row>
    <row r="154" spans="2:7" ht="21" x14ac:dyDescent="0.35">
      <c r="B154" s="85" t="s">
        <v>134</v>
      </c>
      <c r="C154" s="86"/>
      <c r="D154" s="86"/>
      <c r="E154" s="86"/>
      <c r="F154" s="86"/>
    </row>
    <row r="156" spans="2:7" ht="21" x14ac:dyDescent="0.35">
      <c r="D156" s="35" t="s">
        <v>135</v>
      </c>
    </row>
    <row r="157" spans="2:7" ht="21" x14ac:dyDescent="0.25">
      <c r="F157" s="72" t="s">
        <v>136</v>
      </c>
    </row>
    <row r="158" spans="2:7" ht="21" x14ac:dyDescent="0.25">
      <c r="F158" s="72" t="s">
        <v>137</v>
      </c>
    </row>
    <row r="160" spans="2:7" ht="21" x14ac:dyDescent="0.25">
      <c r="F160" s="72" t="s">
        <v>136</v>
      </c>
      <c r="G160" s="82">
        <v>-787</v>
      </c>
    </row>
    <row r="161" spans="2:12" ht="21" x14ac:dyDescent="0.25">
      <c r="F161" s="72" t="s">
        <v>137</v>
      </c>
      <c r="G161" s="82">
        <v>-1143.2</v>
      </c>
    </row>
    <row r="162" spans="2:12" ht="23.25" x14ac:dyDescent="0.35">
      <c r="E162" s="35" t="s">
        <v>138</v>
      </c>
      <c r="G162" s="83">
        <f>SUM(G160:G161)</f>
        <v>-1930.2</v>
      </c>
      <c r="H162" s="84" t="s">
        <v>139</v>
      </c>
    </row>
    <row r="165" spans="2:12" ht="21" x14ac:dyDescent="0.35">
      <c r="B165" s="85" t="s">
        <v>140</v>
      </c>
      <c r="C165" s="86"/>
      <c r="D165" s="86"/>
      <c r="E165" s="86"/>
      <c r="F165" s="86"/>
    </row>
    <row r="167" spans="2:12" ht="21" x14ac:dyDescent="0.35">
      <c r="D167" s="35" t="s">
        <v>141</v>
      </c>
    </row>
    <row r="168" spans="2:12" ht="21" x14ac:dyDescent="0.25">
      <c r="D168" s="3"/>
      <c r="F168" s="72" t="s">
        <v>142</v>
      </c>
    </row>
    <row r="169" spans="2:12" ht="21" x14ac:dyDescent="0.25">
      <c r="F169" s="72" t="s">
        <v>143</v>
      </c>
    </row>
    <row r="170" spans="2:12" ht="23.25" x14ac:dyDescent="0.35">
      <c r="E170" s="35" t="s">
        <v>138</v>
      </c>
      <c r="I170" s="83"/>
      <c r="J170" s="84"/>
    </row>
    <row r="173" spans="2:12" ht="21" x14ac:dyDescent="0.35">
      <c r="B173" s="87" t="s">
        <v>144</v>
      </c>
      <c r="C173" s="88"/>
      <c r="D173" s="88"/>
    </row>
    <row r="174" spans="2:12" ht="15" customHeight="1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2:12" ht="15" customHeight="1" x14ac:dyDescent="0.35">
      <c r="B175" s="6"/>
      <c r="C175" s="6"/>
      <c r="D175" s="6"/>
      <c r="E175" s="6"/>
      <c r="F175" s="6"/>
      <c r="G175" s="6"/>
      <c r="H175" s="77" t="s">
        <v>119</v>
      </c>
      <c r="I175" s="6"/>
      <c r="J175" s="6"/>
      <c r="K175" s="6"/>
      <c r="L175" s="6"/>
    </row>
    <row r="176" spans="2:12" ht="21" x14ac:dyDescent="0.25">
      <c r="B176" s="6"/>
      <c r="C176" s="6"/>
      <c r="D176" s="6"/>
      <c r="E176" s="6"/>
      <c r="F176" s="6"/>
      <c r="G176" s="6"/>
      <c r="H176" s="78" t="s">
        <v>120</v>
      </c>
      <c r="I176" s="6"/>
      <c r="J176" s="6"/>
      <c r="K176" s="6"/>
      <c r="L176" s="6"/>
    </row>
    <row r="177" spans="2:12" ht="21" x14ac:dyDescent="0.35">
      <c r="B177" s="6"/>
      <c r="C177" s="77" t="s">
        <v>121</v>
      </c>
      <c r="D177" s="6"/>
      <c r="E177" s="6"/>
      <c r="F177" s="6"/>
      <c r="G177" s="6"/>
      <c r="H177" s="78" t="s">
        <v>122</v>
      </c>
      <c r="I177" s="6"/>
      <c r="J177" s="6"/>
      <c r="K177" s="6"/>
      <c r="L177" s="6"/>
    </row>
    <row r="186" spans="2:12" ht="21" x14ac:dyDescent="0.35">
      <c r="B186" s="35" t="s">
        <v>145</v>
      </c>
    </row>
    <row r="188" spans="2:12" ht="21" x14ac:dyDescent="0.35">
      <c r="B188" s="35" t="s">
        <v>146</v>
      </c>
    </row>
    <row r="192" spans="2:12" ht="21" x14ac:dyDescent="0.35">
      <c r="B192" s="35" t="s">
        <v>147</v>
      </c>
      <c r="C192" s="35"/>
      <c r="D192" s="35"/>
      <c r="E192" s="35"/>
      <c r="F192" s="35"/>
      <c r="G192" s="35"/>
    </row>
    <row r="194" spans="2:3" ht="21" x14ac:dyDescent="0.35">
      <c r="B194" s="35" t="s">
        <v>148</v>
      </c>
    </row>
    <row r="207" spans="2:3" ht="21" x14ac:dyDescent="0.35">
      <c r="C207" s="77" t="s">
        <v>149</v>
      </c>
    </row>
    <row r="209" spans="1:13" ht="21" x14ac:dyDescent="0.35">
      <c r="C209" s="35" t="s">
        <v>150</v>
      </c>
      <c r="D209" s="35"/>
      <c r="E209" s="35"/>
      <c r="F209" s="35"/>
      <c r="G209" s="35"/>
    </row>
    <row r="210" spans="1:13" ht="21" x14ac:dyDescent="0.35">
      <c r="C210" s="72"/>
      <c r="D210" s="35"/>
      <c r="E210" s="35"/>
      <c r="F210" s="35"/>
      <c r="G210" s="35"/>
    </row>
    <row r="211" spans="1:13" ht="21" x14ac:dyDescent="0.35">
      <c r="C211" s="72" t="s">
        <v>151</v>
      </c>
      <c r="D211" s="35"/>
      <c r="E211" s="35"/>
      <c r="F211" s="35"/>
      <c r="G211" s="35"/>
    </row>
    <row r="212" spans="1:13" ht="21" x14ac:dyDescent="0.35">
      <c r="C212" s="72" t="s">
        <v>152</v>
      </c>
      <c r="D212" s="35"/>
      <c r="E212" s="35"/>
      <c r="F212" s="35"/>
      <c r="G212" s="35"/>
    </row>
    <row r="213" spans="1:13" ht="21" x14ac:dyDescent="0.35">
      <c r="C213" s="72" t="s">
        <v>153</v>
      </c>
      <c r="D213" s="35"/>
      <c r="E213" s="35"/>
      <c r="F213" s="35"/>
      <c r="G213" s="35"/>
    </row>
    <row r="215" spans="1:13" x14ac:dyDescent="0.25">
      <c r="A215" s="114"/>
      <c r="B215" s="114"/>
      <c r="C215" s="114"/>
    </row>
    <row r="220" spans="1:13" ht="21" x14ac:dyDescent="0.35">
      <c r="D220" s="35" t="s">
        <v>154</v>
      </c>
    </row>
    <row r="224" spans="1:13" ht="21" x14ac:dyDescent="0.35">
      <c r="B224" s="86"/>
      <c r="C224" s="85" t="s">
        <v>155</v>
      </c>
      <c r="D224" s="86"/>
      <c r="E224" s="86"/>
      <c r="F224" s="86"/>
      <c r="G224" s="86"/>
      <c r="H224" s="86"/>
      <c r="I224" s="86"/>
      <c r="J224" s="86"/>
      <c r="K224" s="86"/>
      <c r="M224" s="35" t="s">
        <v>156</v>
      </c>
    </row>
    <row r="226" spans="3:3" ht="21" x14ac:dyDescent="0.35">
      <c r="C226" s="35" t="s">
        <v>157</v>
      </c>
    </row>
    <row r="234" spans="3:3" ht="21" x14ac:dyDescent="0.35">
      <c r="C234" s="35" t="s">
        <v>158</v>
      </c>
    </row>
    <row r="239" spans="3:3" ht="21" x14ac:dyDescent="0.35">
      <c r="C239" s="35" t="s">
        <v>159</v>
      </c>
    </row>
    <row r="241" spans="3:12" ht="21" x14ac:dyDescent="0.35">
      <c r="D241" s="35" t="s">
        <v>160</v>
      </c>
    </row>
    <row r="242" spans="3:12" ht="21" x14ac:dyDescent="0.25">
      <c r="D242" s="72" t="s">
        <v>161</v>
      </c>
    </row>
    <row r="244" spans="3:12" ht="21" x14ac:dyDescent="0.35">
      <c r="D244" s="35" t="s">
        <v>162</v>
      </c>
      <c r="H244" s="89" t="s">
        <v>163</v>
      </c>
      <c r="I244" s="5"/>
    </row>
    <row r="246" spans="3:12" ht="21" x14ac:dyDescent="0.35">
      <c r="H246" s="85" t="s">
        <v>164</v>
      </c>
      <c r="I246" s="86"/>
      <c r="J246" s="86"/>
      <c r="K246" s="86"/>
      <c r="L246" s="86"/>
    </row>
    <row r="249" spans="3:12" ht="21" x14ac:dyDescent="0.35">
      <c r="C249" s="35" t="s">
        <v>165</v>
      </c>
    </row>
    <row r="251" spans="3:12" ht="21" x14ac:dyDescent="0.35">
      <c r="D251" s="96" t="s">
        <v>166</v>
      </c>
      <c r="E251" s="97" t="s">
        <v>167</v>
      </c>
    </row>
    <row r="252" spans="3:12" ht="21" x14ac:dyDescent="0.35">
      <c r="D252" s="98" t="s">
        <v>168</v>
      </c>
      <c r="E252" s="99" t="s">
        <v>169</v>
      </c>
    </row>
    <row r="253" spans="3:12" ht="21" x14ac:dyDescent="0.35">
      <c r="D253" s="98" t="s">
        <v>170</v>
      </c>
      <c r="E253" s="99" t="s">
        <v>171</v>
      </c>
    </row>
    <row r="254" spans="3:12" ht="21" x14ac:dyDescent="0.35">
      <c r="D254" s="98" t="s">
        <v>172</v>
      </c>
      <c r="E254" s="99" t="s">
        <v>173</v>
      </c>
    </row>
    <row r="255" spans="3:12" ht="21" x14ac:dyDescent="0.35">
      <c r="D255" s="98" t="s">
        <v>174</v>
      </c>
      <c r="E255" s="99" t="s">
        <v>175</v>
      </c>
    </row>
    <row r="256" spans="3:12" ht="21" x14ac:dyDescent="0.35">
      <c r="D256" s="98" t="s">
        <v>176</v>
      </c>
      <c r="E256" s="99" t="s">
        <v>177</v>
      </c>
    </row>
    <row r="258" spans="3:6" ht="21" x14ac:dyDescent="0.35">
      <c r="C258" s="35" t="s">
        <v>178</v>
      </c>
    </row>
    <row r="261" spans="3:6" ht="21" x14ac:dyDescent="0.35">
      <c r="C261" s="35" t="s">
        <v>179</v>
      </c>
    </row>
    <row r="263" spans="3:6" ht="21" x14ac:dyDescent="0.35">
      <c r="C263" s="35" t="s">
        <v>180</v>
      </c>
    </row>
    <row r="265" spans="3:6" ht="21" x14ac:dyDescent="0.25">
      <c r="F265" s="82" t="s">
        <v>181</v>
      </c>
    </row>
    <row r="267" spans="3:6" ht="21" x14ac:dyDescent="0.35">
      <c r="C267" s="35" t="s">
        <v>182</v>
      </c>
    </row>
    <row r="282" spans="3:6" ht="21" x14ac:dyDescent="0.35">
      <c r="C282" s="35" t="s">
        <v>183</v>
      </c>
    </row>
    <row r="283" spans="3:6" ht="21" x14ac:dyDescent="0.35">
      <c r="C283" s="35" t="s">
        <v>184</v>
      </c>
    </row>
    <row r="286" spans="3:6" ht="21" x14ac:dyDescent="0.35">
      <c r="F286" s="35" t="s">
        <v>185</v>
      </c>
    </row>
    <row r="287" spans="3:6" ht="21" x14ac:dyDescent="0.35">
      <c r="F287" s="35" t="s">
        <v>186</v>
      </c>
    </row>
    <row r="288" spans="3:6" ht="21" x14ac:dyDescent="0.35">
      <c r="F288" s="35" t="s">
        <v>187</v>
      </c>
    </row>
    <row r="292" spans="4:9" ht="21" x14ac:dyDescent="0.35">
      <c r="I292" s="35" t="s">
        <v>188</v>
      </c>
    </row>
    <row r="294" spans="4:9" ht="21" x14ac:dyDescent="0.35">
      <c r="I294" s="35" t="s">
        <v>189</v>
      </c>
    </row>
    <row r="295" spans="4:9" ht="21" x14ac:dyDescent="0.35">
      <c r="D295" s="35" t="s">
        <v>190</v>
      </c>
      <c r="I295" s="35" t="s">
        <v>191</v>
      </c>
    </row>
    <row r="296" spans="4:9" ht="21" x14ac:dyDescent="0.35">
      <c r="I296" s="35" t="s">
        <v>192</v>
      </c>
    </row>
    <row r="297" spans="4:9" ht="21" x14ac:dyDescent="0.35">
      <c r="I297" s="35" t="s">
        <v>193</v>
      </c>
    </row>
    <row r="298" spans="4:9" ht="21" x14ac:dyDescent="0.35">
      <c r="I298" s="35" t="s">
        <v>194</v>
      </c>
    </row>
    <row r="299" spans="4:9" ht="21" x14ac:dyDescent="0.35">
      <c r="I299" s="35" t="s">
        <v>195</v>
      </c>
    </row>
    <row r="301" spans="4:9" ht="21" x14ac:dyDescent="0.35">
      <c r="I301" s="35"/>
    </row>
    <row r="304" spans="4:9" ht="21" x14ac:dyDescent="0.35">
      <c r="I304" s="35" t="s">
        <v>196</v>
      </c>
    </row>
    <row r="305" spans="3:9" ht="21" x14ac:dyDescent="0.35">
      <c r="I305" s="35"/>
    </row>
    <row r="306" spans="3:9" ht="21" x14ac:dyDescent="0.35">
      <c r="I306" s="35"/>
    </row>
    <row r="311" spans="3:9" ht="21.75" thickBot="1" x14ac:dyDescent="0.4">
      <c r="I311" s="115"/>
    </row>
    <row r="312" spans="3:9" x14ac:dyDescent="0.25">
      <c r="F312" s="17"/>
      <c r="G312" s="18"/>
      <c r="H312" s="18"/>
      <c r="I312" s="19"/>
    </row>
    <row r="313" spans="3:9" ht="21" x14ac:dyDescent="0.35">
      <c r="F313" s="20"/>
      <c r="G313" s="35" t="s">
        <v>197</v>
      </c>
      <c r="I313" s="21"/>
    </row>
    <row r="314" spans="3:9" ht="15.75" thickBot="1" x14ac:dyDescent="0.3">
      <c r="F314" s="22"/>
      <c r="G314" s="23"/>
      <c r="H314" s="23"/>
      <c r="I314" s="24"/>
    </row>
    <row r="316" spans="3:9" ht="21" x14ac:dyDescent="0.35">
      <c r="C316" s="35" t="s">
        <v>198</v>
      </c>
    </row>
    <row r="318" spans="3:9" ht="21" x14ac:dyDescent="0.35">
      <c r="C318" s="35" t="s">
        <v>199</v>
      </c>
      <c r="E318" s="35" t="s">
        <v>200</v>
      </c>
    </row>
    <row r="319" spans="3:9" ht="21" x14ac:dyDescent="0.35">
      <c r="C319" s="35"/>
    </row>
    <row r="320" spans="3:9" ht="21" x14ac:dyDescent="0.35">
      <c r="C320" s="35" t="s">
        <v>201</v>
      </c>
      <c r="E320" s="35" t="s">
        <v>202</v>
      </c>
    </row>
    <row r="321" spans="3:7" ht="21" x14ac:dyDescent="0.35">
      <c r="C321" s="35"/>
    </row>
    <row r="322" spans="3:7" ht="21" x14ac:dyDescent="0.35">
      <c r="C322" s="116" t="s">
        <v>203</v>
      </c>
    </row>
    <row r="323" spans="3:7" ht="21" x14ac:dyDescent="0.35">
      <c r="C323" s="35" t="s">
        <v>204</v>
      </c>
    </row>
    <row r="325" spans="3:7" ht="21" x14ac:dyDescent="0.35">
      <c r="C325" s="35" t="s">
        <v>205</v>
      </c>
    </row>
    <row r="328" spans="3:7" ht="15.75" thickBot="1" x14ac:dyDescent="0.3"/>
    <row r="329" spans="3:7" ht="15.75" x14ac:dyDescent="0.25">
      <c r="C329" s="117" t="s">
        <v>206</v>
      </c>
      <c r="D329" s="18"/>
      <c r="E329" s="18"/>
      <c r="F329" s="18"/>
      <c r="G329" s="19"/>
    </row>
    <row r="330" spans="3:7" ht="15.75" x14ac:dyDescent="0.25">
      <c r="C330" s="118" t="s">
        <v>207</v>
      </c>
      <c r="G330" s="21"/>
    </row>
    <row r="331" spans="3:7" ht="15.75" x14ac:dyDescent="0.25">
      <c r="C331" s="118" t="s">
        <v>208</v>
      </c>
      <c r="G331" s="21"/>
    </row>
    <row r="332" spans="3:7" ht="15.75" x14ac:dyDescent="0.25">
      <c r="C332" s="118" t="s">
        <v>209</v>
      </c>
      <c r="G332" s="21"/>
    </row>
    <row r="333" spans="3:7" x14ac:dyDescent="0.25">
      <c r="C333" s="119" t="s">
        <v>210</v>
      </c>
      <c r="G333" s="21"/>
    </row>
    <row r="334" spans="3:7" ht="15.75" x14ac:dyDescent="0.25">
      <c r="C334" s="118"/>
      <c r="G334" s="21"/>
    </row>
    <row r="335" spans="3:7" ht="15.75" x14ac:dyDescent="0.25">
      <c r="C335" s="118" t="s">
        <v>211</v>
      </c>
      <c r="G335" s="21"/>
    </row>
    <row r="336" spans="3:7" ht="15.75" thickBot="1" x14ac:dyDescent="0.3">
      <c r="C336" s="22"/>
      <c r="D336" s="23"/>
      <c r="E336" s="23"/>
      <c r="F336" s="23"/>
      <c r="G336" s="24"/>
    </row>
  </sheetData>
  <mergeCells count="3">
    <mergeCell ref="L7:M7"/>
    <mergeCell ref="B136:H138"/>
    <mergeCell ref="B151:G152"/>
  </mergeCells>
  <phoneticPr fontId="16" type="noConversion"/>
  <hyperlinks>
    <hyperlink ref="C333" r:id="rId1" xr:uid="{14488038-C8BB-4CDC-B54A-9D739D1A06A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5A97-9C52-49B0-9819-D918709B8B01}">
  <dimension ref="C2:I80"/>
  <sheetViews>
    <sheetView workbookViewId="0">
      <selection activeCell="H76" sqref="H76"/>
    </sheetView>
  </sheetViews>
  <sheetFormatPr baseColWidth="10" defaultColWidth="11.42578125" defaultRowHeight="15" x14ac:dyDescent="0.25"/>
  <sheetData>
    <row r="2" spans="3:4" ht="21" x14ac:dyDescent="0.35">
      <c r="D2" s="35" t="s">
        <v>212</v>
      </c>
    </row>
    <row r="10" spans="3:4" ht="21" x14ac:dyDescent="0.35">
      <c r="C10" s="35" t="s">
        <v>213</v>
      </c>
    </row>
    <row r="14" spans="3:4" ht="21" x14ac:dyDescent="0.35">
      <c r="C14" s="35" t="s">
        <v>214</v>
      </c>
    </row>
    <row r="43" spans="3:9" ht="21" x14ac:dyDescent="0.35">
      <c r="C43" s="35" t="s">
        <v>215</v>
      </c>
      <c r="I43" s="35" t="s">
        <v>216</v>
      </c>
    </row>
    <row r="45" spans="3:9" ht="21" x14ac:dyDescent="0.35">
      <c r="C45" s="35" t="s">
        <v>217</v>
      </c>
      <c r="G45" s="35" t="s">
        <v>218</v>
      </c>
    </row>
    <row r="47" spans="3:9" ht="21" x14ac:dyDescent="0.25">
      <c r="C47" s="111" t="s">
        <v>219</v>
      </c>
    </row>
    <row r="48" spans="3:9" ht="21" x14ac:dyDescent="0.35">
      <c r="C48" s="113" t="s">
        <v>220</v>
      </c>
      <c r="D48" s="50"/>
      <c r="E48" s="50"/>
      <c r="F48" s="50"/>
      <c r="G48" s="50"/>
      <c r="H48" s="50"/>
    </row>
    <row r="49" spans="3:3" ht="21" x14ac:dyDescent="0.35">
      <c r="C49" s="35"/>
    </row>
    <row r="50" spans="3:3" ht="21" x14ac:dyDescent="0.35">
      <c r="C50" s="35" t="s">
        <v>221</v>
      </c>
    </row>
    <row r="51" spans="3:3" ht="21" x14ac:dyDescent="0.35">
      <c r="C51" s="35"/>
    </row>
    <row r="52" spans="3:3" ht="21" x14ac:dyDescent="0.35">
      <c r="C52" s="35" t="s">
        <v>222</v>
      </c>
    </row>
    <row r="53" spans="3:3" ht="21" x14ac:dyDescent="0.35">
      <c r="C53" s="35"/>
    </row>
    <row r="54" spans="3:3" ht="21" x14ac:dyDescent="0.25">
      <c r="C54" s="112"/>
    </row>
    <row r="67" spans="3:6" x14ac:dyDescent="0.25">
      <c r="C67" t="s">
        <v>223</v>
      </c>
    </row>
    <row r="69" spans="3:6" x14ac:dyDescent="0.25">
      <c r="C69" t="s">
        <v>224</v>
      </c>
    </row>
    <row r="70" spans="3:6" x14ac:dyDescent="0.25">
      <c r="C70" t="s">
        <v>225</v>
      </c>
    </row>
    <row r="71" spans="3:6" ht="21" x14ac:dyDescent="0.35">
      <c r="C71" t="s">
        <v>226</v>
      </c>
      <c r="F71" s="35" t="s">
        <v>227</v>
      </c>
    </row>
    <row r="72" spans="3:6" x14ac:dyDescent="0.25">
      <c r="C72" t="s">
        <v>228</v>
      </c>
    </row>
    <row r="73" spans="3:6" x14ac:dyDescent="0.25">
      <c r="C73" t="s">
        <v>229</v>
      </c>
    </row>
    <row r="74" spans="3:6" x14ac:dyDescent="0.25">
      <c r="C74" t="s">
        <v>67</v>
      </c>
    </row>
    <row r="75" spans="3:6" x14ac:dyDescent="0.25">
      <c r="C75" t="s">
        <v>225</v>
      </c>
    </row>
    <row r="76" spans="3:6" x14ac:dyDescent="0.25">
      <c r="C76" t="s">
        <v>226</v>
      </c>
    </row>
    <row r="77" spans="3:6" x14ac:dyDescent="0.25">
      <c r="C77" t="s">
        <v>230</v>
      </c>
    </row>
    <row r="78" spans="3:6" x14ac:dyDescent="0.25">
      <c r="C78" t="s">
        <v>229</v>
      </c>
    </row>
    <row r="79" spans="3:6" x14ac:dyDescent="0.25">
      <c r="C79" t="s">
        <v>231</v>
      </c>
    </row>
    <row r="80" spans="3:6" x14ac:dyDescent="0.25">
      <c r="C80" t="s">
        <v>225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765B-F0DF-4700-91FF-024BD5301289}">
  <dimension ref="B1:H68"/>
  <sheetViews>
    <sheetView topLeftCell="A29" workbookViewId="0">
      <selection activeCell="K40" sqref="K40"/>
    </sheetView>
  </sheetViews>
  <sheetFormatPr baseColWidth="10" defaultColWidth="11.42578125" defaultRowHeight="15" x14ac:dyDescent="0.25"/>
  <cols>
    <col min="2" max="2" width="14.5703125" customWidth="1"/>
    <col min="3" max="3" width="14.85546875" customWidth="1"/>
    <col min="4" max="4" width="10.42578125" style="49" customWidth="1"/>
  </cols>
  <sheetData>
    <row r="1" spans="2:8" ht="15.75" thickBot="1" x14ac:dyDescent="0.3"/>
    <row r="2" spans="2:8" ht="28.5" customHeight="1" thickBot="1" x14ac:dyDescent="0.35">
      <c r="B2" s="55" t="s">
        <v>232</v>
      </c>
      <c r="C2" s="56"/>
      <c r="D2" s="57"/>
      <c r="E2" s="56"/>
      <c r="F2" s="58"/>
    </row>
    <row r="3" spans="2:8" ht="30" x14ac:dyDescent="0.25">
      <c r="B3" s="52" t="s">
        <v>15</v>
      </c>
      <c r="C3" s="52" t="s">
        <v>233</v>
      </c>
      <c r="D3" s="52" t="s">
        <v>128</v>
      </c>
      <c r="E3" s="50"/>
      <c r="F3" s="50"/>
    </row>
    <row r="4" spans="2:8" x14ac:dyDescent="0.25">
      <c r="B4" s="53" t="s">
        <v>234</v>
      </c>
      <c r="C4" s="53" t="s">
        <v>235</v>
      </c>
      <c r="D4" s="54">
        <v>0</v>
      </c>
      <c r="E4" s="50"/>
      <c r="F4" s="50"/>
    </row>
    <row r="5" spans="2:8" x14ac:dyDescent="0.25">
      <c r="B5" s="53" t="s">
        <v>130</v>
      </c>
      <c r="C5" s="53" t="s">
        <v>235</v>
      </c>
      <c r="D5" s="54">
        <v>0</v>
      </c>
      <c r="E5" s="50"/>
      <c r="F5" s="50"/>
    </row>
    <row r="6" spans="2:8" x14ac:dyDescent="0.25">
      <c r="B6" s="53" t="s">
        <v>236</v>
      </c>
      <c r="C6" s="53" t="s">
        <v>235</v>
      </c>
      <c r="D6" s="54">
        <v>0</v>
      </c>
      <c r="E6" s="50"/>
      <c r="F6" s="50"/>
    </row>
    <row r="7" spans="2:8" x14ac:dyDescent="0.25">
      <c r="B7" s="53" t="s">
        <v>237</v>
      </c>
      <c r="C7" s="53" t="s">
        <v>238</v>
      </c>
      <c r="D7" s="54">
        <v>0</v>
      </c>
      <c r="E7" s="50"/>
      <c r="F7" s="50"/>
    </row>
    <row r="8" spans="2:8" x14ac:dyDescent="0.25">
      <c r="B8" s="53" t="s">
        <v>239</v>
      </c>
      <c r="C8" s="53" t="s">
        <v>235</v>
      </c>
      <c r="D8" s="54">
        <v>-110.5</v>
      </c>
      <c r="E8" s="50"/>
      <c r="F8" s="50"/>
    </row>
    <row r="9" spans="2:8" x14ac:dyDescent="0.25">
      <c r="B9" s="53" t="s">
        <v>131</v>
      </c>
      <c r="C9" s="53" t="s">
        <v>235</v>
      </c>
      <c r="D9" s="54">
        <v>-393.5</v>
      </c>
      <c r="E9" s="50"/>
      <c r="F9" s="50"/>
    </row>
    <row r="10" spans="2:8" x14ac:dyDescent="0.25">
      <c r="B10" s="53" t="s">
        <v>132</v>
      </c>
      <c r="C10" s="53" t="s">
        <v>240</v>
      </c>
      <c r="D10" s="54">
        <v>-285.8</v>
      </c>
      <c r="E10" s="50"/>
      <c r="F10" s="50"/>
    </row>
    <row r="11" spans="2:8" x14ac:dyDescent="0.25">
      <c r="B11" s="53" t="s">
        <v>241</v>
      </c>
      <c r="C11" s="53" t="s">
        <v>235</v>
      </c>
      <c r="D11" s="54">
        <v>-241.8</v>
      </c>
      <c r="E11" s="50"/>
      <c r="F11" s="50"/>
    </row>
    <row r="12" spans="2:8" x14ac:dyDescent="0.25">
      <c r="B12" s="53" t="s">
        <v>242</v>
      </c>
      <c r="C12" s="53" t="s">
        <v>235</v>
      </c>
      <c r="D12" s="54">
        <v>-74.8</v>
      </c>
      <c r="E12" s="50"/>
      <c r="F12" s="50"/>
    </row>
    <row r="13" spans="2:8" x14ac:dyDescent="0.25">
      <c r="B13" s="53" t="s">
        <v>129</v>
      </c>
      <c r="C13" s="53" t="s">
        <v>240</v>
      </c>
      <c r="D13" s="54">
        <v>-238.7</v>
      </c>
      <c r="E13" s="50"/>
      <c r="F13" s="50"/>
    </row>
    <row r="14" spans="2:8" x14ac:dyDescent="0.25">
      <c r="B14" s="53" t="s">
        <v>243</v>
      </c>
      <c r="C14" s="53" t="s">
        <v>240</v>
      </c>
      <c r="D14" s="54">
        <v>-277.7</v>
      </c>
      <c r="E14" s="50"/>
      <c r="F14" s="50"/>
    </row>
    <row r="15" spans="2:8" x14ac:dyDescent="0.25">
      <c r="B15" s="53" t="s">
        <v>244</v>
      </c>
      <c r="C15" s="53" t="s">
        <v>235</v>
      </c>
      <c r="D15" s="54">
        <v>-46.1</v>
      </c>
      <c r="E15" s="50"/>
      <c r="F15" s="50"/>
    </row>
    <row r="16" spans="2:8" x14ac:dyDescent="0.25">
      <c r="B16" s="50"/>
      <c r="C16" s="50"/>
      <c r="D16" s="51"/>
      <c r="E16" s="50"/>
      <c r="F16" s="50"/>
      <c r="H16" s="3"/>
    </row>
    <row r="17" spans="2:8" x14ac:dyDescent="0.25">
      <c r="B17" s="50" t="s">
        <v>245</v>
      </c>
      <c r="C17" s="50"/>
      <c r="D17" s="51"/>
      <c r="E17" s="50"/>
      <c r="F17" s="50"/>
      <c r="H17" s="3"/>
    </row>
    <row r="18" spans="2:8" x14ac:dyDescent="0.25">
      <c r="B18" s="50"/>
      <c r="C18" s="50"/>
      <c r="D18" s="51"/>
      <c r="E18" s="50"/>
      <c r="F18" s="50"/>
    </row>
    <row r="19" spans="2:8" x14ac:dyDescent="0.25">
      <c r="B19" s="50"/>
      <c r="C19" s="50"/>
      <c r="D19" s="51"/>
      <c r="E19" s="50"/>
      <c r="F19" s="50"/>
    </row>
    <row r="20" spans="2:8" x14ac:dyDescent="0.25">
      <c r="B20" s="50"/>
      <c r="C20" s="50"/>
      <c r="D20" s="51"/>
      <c r="E20" s="50"/>
      <c r="F20" s="50"/>
    </row>
    <row r="22" spans="2:8" ht="15.75" thickBot="1" x14ac:dyDescent="0.3"/>
    <row r="23" spans="2:8" ht="19.5" thickBot="1" x14ac:dyDescent="0.35">
      <c r="B23" s="55" t="s">
        <v>246</v>
      </c>
      <c r="C23" s="56"/>
      <c r="D23" s="57"/>
      <c r="E23" s="56"/>
      <c r="F23" s="58"/>
    </row>
    <row r="24" spans="2:8" ht="30" x14ac:dyDescent="0.25">
      <c r="B24" s="52" t="s">
        <v>166</v>
      </c>
      <c r="C24" s="52" t="s">
        <v>233</v>
      </c>
      <c r="D24" s="52" t="s">
        <v>247</v>
      </c>
      <c r="E24" s="50"/>
      <c r="F24" s="50"/>
    </row>
    <row r="25" spans="2:8" x14ac:dyDescent="0.25">
      <c r="B25" s="53" t="s">
        <v>176</v>
      </c>
      <c r="C25" s="54" t="s">
        <v>248</v>
      </c>
      <c r="D25" s="54">
        <v>-286</v>
      </c>
      <c r="E25" s="50"/>
      <c r="F25" s="50"/>
    </row>
    <row r="26" spans="2:8" ht="30" x14ac:dyDescent="0.25">
      <c r="B26" s="63" t="s">
        <v>249</v>
      </c>
      <c r="C26" s="62" t="s">
        <v>248</v>
      </c>
      <c r="D26" s="62">
        <v>-283</v>
      </c>
      <c r="E26" s="50"/>
      <c r="F26" s="50"/>
    </row>
    <row r="27" spans="2:8" x14ac:dyDescent="0.25">
      <c r="B27" s="53" t="s">
        <v>174</v>
      </c>
      <c r="C27" s="54" t="s">
        <v>248</v>
      </c>
      <c r="D27" s="54">
        <v>-890</v>
      </c>
      <c r="E27" s="50"/>
      <c r="F27" s="50"/>
    </row>
    <row r="28" spans="2:8" x14ac:dyDescent="0.25">
      <c r="B28" s="53" t="s">
        <v>250</v>
      </c>
      <c r="C28" s="54" t="s">
        <v>248</v>
      </c>
      <c r="D28" s="54">
        <v>-1560</v>
      </c>
      <c r="E28" s="50"/>
      <c r="F28" s="50"/>
    </row>
    <row r="29" spans="2:8" x14ac:dyDescent="0.25">
      <c r="B29" s="53" t="s">
        <v>251</v>
      </c>
      <c r="C29" s="54" t="s">
        <v>248</v>
      </c>
      <c r="D29" s="54">
        <v>-2220</v>
      </c>
      <c r="E29" s="50"/>
      <c r="F29" s="50"/>
    </row>
    <row r="30" spans="2:8" x14ac:dyDescent="0.25">
      <c r="B30" s="53" t="s">
        <v>252</v>
      </c>
      <c r="C30" s="54" t="s">
        <v>248</v>
      </c>
      <c r="D30" s="54">
        <v>-2877</v>
      </c>
      <c r="E30" s="50"/>
      <c r="F30" s="50"/>
    </row>
    <row r="31" spans="2:8" x14ac:dyDescent="0.25">
      <c r="B31" s="53" t="s">
        <v>253</v>
      </c>
      <c r="C31" s="54" t="s">
        <v>254</v>
      </c>
      <c r="D31" s="54">
        <v>-3509</v>
      </c>
      <c r="E31" s="50"/>
      <c r="F31" s="50"/>
    </row>
    <row r="32" spans="2:8" x14ac:dyDescent="0.25">
      <c r="B32" s="53" t="s">
        <v>255</v>
      </c>
      <c r="C32" s="54" t="s">
        <v>254</v>
      </c>
      <c r="D32" s="54">
        <v>-4163</v>
      </c>
      <c r="E32" s="50"/>
      <c r="F32" s="50"/>
    </row>
    <row r="33" spans="2:6" x14ac:dyDescent="0.25">
      <c r="B33" s="53" t="s">
        <v>256</v>
      </c>
      <c r="C33" s="54" t="s">
        <v>254</v>
      </c>
      <c r="D33" s="54">
        <v>-4817</v>
      </c>
      <c r="E33" s="50"/>
      <c r="F33" s="50"/>
    </row>
    <row r="34" spans="2:6" x14ac:dyDescent="0.25">
      <c r="B34" s="53" t="s">
        <v>257</v>
      </c>
      <c r="C34" s="54" t="s">
        <v>254</v>
      </c>
      <c r="D34" s="54">
        <v>-5471</v>
      </c>
      <c r="E34" s="50"/>
      <c r="F34" s="50"/>
    </row>
    <row r="35" spans="2:6" x14ac:dyDescent="0.25">
      <c r="B35" s="53" t="s">
        <v>168</v>
      </c>
      <c r="C35" s="54" t="s">
        <v>254</v>
      </c>
      <c r="D35" s="54">
        <v>-726</v>
      </c>
      <c r="E35" s="50"/>
      <c r="F35" s="50"/>
    </row>
    <row r="36" spans="2:6" x14ac:dyDescent="0.25">
      <c r="B36" s="53" t="s">
        <v>170</v>
      </c>
      <c r="C36" s="54" t="s">
        <v>254</v>
      </c>
      <c r="D36" s="54">
        <v>-1367</v>
      </c>
      <c r="E36" s="50"/>
      <c r="F36" s="50"/>
    </row>
    <row r="37" spans="2:6" x14ac:dyDescent="0.25">
      <c r="B37" s="50"/>
      <c r="C37" s="50"/>
      <c r="D37" s="51"/>
      <c r="E37" s="50"/>
      <c r="F37" s="50"/>
    </row>
    <row r="38" spans="2:6" x14ac:dyDescent="0.25">
      <c r="B38" s="50" t="s">
        <v>258</v>
      </c>
      <c r="C38" s="50"/>
      <c r="D38" s="51"/>
      <c r="E38" s="50"/>
      <c r="F38" s="50"/>
    </row>
    <row r="39" spans="2:6" x14ac:dyDescent="0.25">
      <c r="B39" s="50"/>
      <c r="C39" s="50"/>
      <c r="D39" s="51"/>
      <c r="E39" s="50"/>
      <c r="F39" s="50"/>
    </row>
    <row r="40" spans="2:6" x14ac:dyDescent="0.25">
      <c r="B40" s="50"/>
      <c r="C40" s="50"/>
      <c r="D40" s="51"/>
      <c r="E40" s="50"/>
      <c r="F40" s="50"/>
    </row>
    <row r="41" spans="2:6" x14ac:dyDescent="0.25">
      <c r="B41" s="50"/>
      <c r="C41" s="50"/>
      <c r="D41" s="51"/>
      <c r="E41" s="50"/>
      <c r="F41" s="50"/>
    </row>
    <row r="44" spans="2:6" ht="15.75" thickBot="1" x14ac:dyDescent="0.3"/>
    <row r="45" spans="2:6" ht="19.5" thickBot="1" x14ac:dyDescent="0.35">
      <c r="B45" s="55" t="s">
        <v>259</v>
      </c>
      <c r="C45" s="56"/>
      <c r="D45" s="57"/>
      <c r="E45" s="56"/>
      <c r="F45" s="58"/>
    </row>
    <row r="46" spans="2:6" ht="30" x14ac:dyDescent="0.25">
      <c r="B46" s="95" t="s">
        <v>15</v>
      </c>
      <c r="C46" s="91" t="s">
        <v>260</v>
      </c>
      <c r="D46" s="94"/>
      <c r="E46" s="6"/>
      <c r="F46" s="6"/>
    </row>
    <row r="47" spans="2:6" x14ac:dyDescent="0.25">
      <c r="B47" s="92" t="s">
        <v>67</v>
      </c>
      <c r="C47" s="93" t="s">
        <v>261</v>
      </c>
      <c r="D47" s="94"/>
      <c r="E47" s="6"/>
      <c r="F47" s="6"/>
    </row>
    <row r="48" spans="2:6" x14ac:dyDescent="0.25">
      <c r="B48" s="92" t="s">
        <v>63</v>
      </c>
      <c r="C48" s="93" t="s">
        <v>262</v>
      </c>
      <c r="D48" s="94"/>
      <c r="E48" s="6"/>
      <c r="F48" s="6"/>
    </row>
    <row r="49" spans="2:6" x14ac:dyDescent="0.25">
      <c r="B49" s="92" t="s">
        <v>65</v>
      </c>
      <c r="C49" s="93" t="s">
        <v>263</v>
      </c>
      <c r="D49" s="94"/>
      <c r="E49" s="6"/>
      <c r="F49" s="6"/>
    </row>
    <row r="50" spans="2:6" x14ac:dyDescent="0.25">
      <c r="B50" s="92" t="s">
        <v>39</v>
      </c>
      <c r="C50" s="93" t="s">
        <v>264</v>
      </c>
      <c r="D50" s="94"/>
      <c r="E50" s="6"/>
      <c r="F50" s="6"/>
    </row>
    <row r="52" spans="2:6" ht="15.75" thickBot="1" x14ac:dyDescent="0.3"/>
    <row r="53" spans="2:6" ht="19.5" thickBot="1" x14ac:dyDescent="0.35">
      <c r="B53" s="55" t="s">
        <v>265</v>
      </c>
      <c r="C53" s="56"/>
      <c r="D53" s="57"/>
      <c r="E53" s="56"/>
      <c r="F53" s="58"/>
    </row>
    <row r="54" spans="2:6" x14ac:dyDescent="0.25">
      <c r="B54" s="50"/>
      <c r="C54" s="50"/>
      <c r="D54" s="51"/>
      <c r="E54" s="50"/>
      <c r="F54" s="50"/>
    </row>
    <row r="55" spans="2:6" x14ac:dyDescent="0.25">
      <c r="B55" s="52" t="s">
        <v>166</v>
      </c>
      <c r="C55" s="59" t="s">
        <v>167</v>
      </c>
      <c r="D55" s="51"/>
      <c r="E55" s="50"/>
      <c r="F55" s="50"/>
    </row>
    <row r="56" spans="2:6" x14ac:dyDescent="0.25">
      <c r="B56" s="53" t="s">
        <v>176</v>
      </c>
      <c r="C56" s="60">
        <v>141.9</v>
      </c>
      <c r="D56" s="51"/>
      <c r="E56" s="50"/>
      <c r="F56" s="50"/>
    </row>
    <row r="57" spans="2:6" x14ac:dyDescent="0.25">
      <c r="B57" s="53" t="s">
        <v>174</v>
      </c>
      <c r="C57" s="60">
        <v>55.5</v>
      </c>
      <c r="D57" s="51"/>
      <c r="E57" s="50"/>
      <c r="F57" s="50"/>
    </row>
    <row r="58" spans="2:6" x14ac:dyDescent="0.25">
      <c r="B58" s="53" t="s">
        <v>251</v>
      </c>
      <c r="C58" s="60">
        <v>50.3</v>
      </c>
      <c r="D58" s="51"/>
      <c r="E58" s="50"/>
      <c r="F58" s="50"/>
    </row>
    <row r="59" spans="2:6" x14ac:dyDescent="0.25">
      <c r="B59" s="53" t="s">
        <v>252</v>
      </c>
      <c r="C59" s="60">
        <v>49.5</v>
      </c>
      <c r="D59" s="51"/>
      <c r="E59" s="50"/>
      <c r="F59" s="50"/>
    </row>
    <row r="60" spans="2:6" x14ac:dyDescent="0.25">
      <c r="B60" s="53" t="s">
        <v>257</v>
      </c>
      <c r="C60" s="60">
        <v>47.9</v>
      </c>
      <c r="D60" s="51"/>
      <c r="E60" s="50"/>
      <c r="F60" s="50"/>
    </row>
    <row r="61" spans="2:6" x14ac:dyDescent="0.25">
      <c r="B61" s="53" t="s">
        <v>172</v>
      </c>
      <c r="C61" s="60" t="s">
        <v>266</v>
      </c>
      <c r="D61" s="51"/>
      <c r="E61" s="50"/>
      <c r="F61" s="50"/>
    </row>
    <row r="62" spans="2:6" x14ac:dyDescent="0.25">
      <c r="B62" s="53" t="s">
        <v>170</v>
      </c>
      <c r="C62" s="60">
        <v>29.7</v>
      </c>
      <c r="D62" s="51"/>
      <c r="E62" s="50"/>
      <c r="F62" s="50"/>
    </row>
    <row r="63" spans="2:6" x14ac:dyDescent="0.25">
      <c r="B63" s="53" t="s">
        <v>168</v>
      </c>
      <c r="C63" s="60">
        <v>22.7</v>
      </c>
      <c r="D63" s="51"/>
      <c r="E63" s="50"/>
      <c r="F63" s="50"/>
    </row>
    <row r="64" spans="2:6" x14ac:dyDescent="0.25">
      <c r="B64" s="50"/>
      <c r="C64" s="50"/>
      <c r="D64" s="51"/>
      <c r="E64" s="50"/>
      <c r="F64" s="50"/>
    </row>
    <row r="65" spans="2:6" x14ac:dyDescent="0.25">
      <c r="B65" s="61" t="s">
        <v>267</v>
      </c>
      <c r="C65" s="50"/>
      <c r="D65" s="51"/>
      <c r="E65" s="50"/>
      <c r="F65" s="50"/>
    </row>
    <row r="67" spans="2:6" ht="15.75" x14ac:dyDescent="0.25">
      <c r="B67" t="s">
        <v>268</v>
      </c>
    </row>
    <row r="68" spans="2:6" x14ac:dyDescent="0.25">
      <c r="B68" t="s">
        <v>269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Estequiometría</vt:lpstr>
      <vt:lpstr>Hoja1</vt:lpstr>
      <vt:lpstr>TP_3</vt:lpstr>
      <vt:lpstr>Energía_Producir_Metanol</vt:lpstr>
      <vt:lpstr>Tablas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Carlos Trotta</cp:lastModifiedBy>
  <cp:revision/>
  <dcterms:created xsi:type="dcterms:W3CDTF">2026-06-24T20:44:00Z</dcterms:created>
  <dcterms:modified xsi:type="dcterms:W3CDTF">2026-07-21T16:09:03Z</dcterms:modified>
  <cp:category/>
  <cp:contentStatus/>
</cp:coreProperties>
</file>